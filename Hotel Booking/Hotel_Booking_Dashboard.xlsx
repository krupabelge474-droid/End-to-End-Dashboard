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C:\Users\Acer\Desktop\fortune cloud\Dashboard\"/>
    </mc:Choice>
  </mc:AlternateContent>
  <xr:revisionPtr revIDLastSave="0" documentId="8_{5992B2F2-0229-4E9E-A5F5-C6AB36BA6738}" xr6:coauthVersionLast="47" xr6:coauthVersionMax="47" xr10:uidLastSave="{00000000-0000-0000-0000-000000000000}"/>
  <bookViews>
    <workbookView xWindow="-108" yWindow="-108" windowWidth="23256" windowHeight="12456" activeTab="2" xr2:uid="{00000000-000D-0000-FFFF-FFFF00000000}"/>
  </bookViews>
  <sheets>
    <sheet name="Analysis" sheetId="4" r:id="rId1"/>
    <sheet name="Data" sheetId="1" r:id="rId2"/>
    <sheet name="Dashboard" sheetId="2" r:id="rId3"/>
  </sheets>
  <definedNames>
    <definedName name="Hoteldata">Data!$A$1:$J$201</definedName>
    <definedName name="Slicer_Booking_Status">#N/A</definedName>
    <definedName name="Slicer_Hotel_Type">#N/A</definedName>
    <definedName name="Slicer_Rating">#N/A</definedName>
    <definedName name="Slicer_Room_Type">#N/A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 i="1"/>
  <c r="E9" i="4"/>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 i="1"/>
</calcChain>
</file>

<file path=xl/sharedStrings.xml><?xml version="1.0" encoding="utf-8"?>
<sst xmlns="http://schemas.openxmlformats.org/spreadsheetml/2006/main" count="887" uniqueCount="247">
  <si>
    <t>Booking_ID</t>
  </si>
  <si>
    <t>Hotel_Type</t>
  </si>
  <si>
    <t>Room_Type</t>
  </si>
  <si>
    <t>Adults</t>
  </si>
  <si>
    <t>Children</t>
  </si>
  <si>
    <t>Room_Rate</t>
  </si>
  <si>
    <t>Check_In_Date</t>
  </si>
  <si>
    <t>Check_Out_Date</t>
  </si>
  <si>
    <t>Booking_Status</t>
  </si>
  <si>
    <t>Rating</t>
  </si>
  <si>
    <t>HB1001</t>
  </si>
  <si>
    <t>Resort Hotel</t>
  </si>
  <si>
    <t>Suite</t>
  </si>
  <si>
    <t>Cancelled</t>
  </si>
  <si>
    <t>HB1002</t>
  </si>
  <si>
    <t>Standard</t>
  </si>
  <si>
    <t>HB1003</t>
  </si>
  <si>
    <t>City Hotel</t>
  </si>
  <si>
    <t>Deluxe</t>
  </si>
  <si>
    <t>Checked Out</t>
  </si>
  <si>
    <t>HB1004</t>
  </si>
  <si>
    <t>Confirmed</t>
  </si>
  <si>
    <t>HB1005</t>
  </si>
  <si>
    <t>No Show</t>
  </si>
  <si>
    <t>HB1006</t>
  </si>
  <si>
    <t>HB1007</t>
  </si>
  <si>
    <t>HB1008</t>
  </si>
  <si>
    <t>HB1009</t>
  </si>
  <si>
    <t>HB1010</t>
  </si>
  <si>
    <t>HB1011</t>
  </si>
  <si>
    <t>Executive</t>
  </si>
  <si>
    <t>HB1012</t>
  </si>
  <si>
    <t>HB1013</t>
  </si>
  <si>
    <t>HB1014</t>
  </si>
  <si>
    <t>HB1015</t>
  </si>
  <si>
    <t>HB1016</t>
  </si>
  <si>
    <t>HB1017</t>
  </si>
  <si>
    <t>HB1018</t>
  </si>
  <si>
    <t>HB1019</t>
  </si>
  <si>
    <t>HB1020</t>
  </si>
  <si>
    <t>HB1021</t>
  </si>
  <si>
    <t>HB1022</t>
  </si>
  <si>
    <t>HB1023</t>
  </si>
  <si>
    <t>HB1024</t>
  </si>
  <si>
    <t>HB1025</t>
  </si>
  <si>
    <t>HB1026</t>
  </si>
  <si>
    <t>HB1027</t>
  </si>
  <si>
    <t>HB1028</t>
  </si>
  <si>
    <t>HB1029</t>
  </si>
  <si>
    <t>HB1030</t>
  </si>
  <si>
    <t>HB1031</t>
  </si>
  <si>
    <t>HB1032</t>
  </si>
  <si>
    <t>HB1033</t>
  </si>
  <si>
    <t>HB1034</t>
  </si>
  <si>
    <t>HB1035</t>
  </si>
  <si>
    <t>HB1036</t>
  </si>
  <si>
    <t>HB1037</t>
  </si>
  <si>
    <t>HB1038</t>
  </si>
  <si>
    <t>HB1039</t>
  </si>
  <si>
    <t>HB1040</t>
  </si>
  <si>
    <t>HB1041</t>
  </si>
  <si>
    <t>HB1042</t>
  </si>
  <si>
    <t>HB1043</t>
  </si>
  <si>
    <t>HB1044</t>
  </si>
  <si>
    <t>HB1045</t>
  </si>
  <si>
    <t>HB1046</t>
  </si>
  <si>
    <t>HB1047</t>
  </si>
  <si>
    <t>HB1048</t>
  </si>
  <si>
    <t>HB1049</t>
  </si>
  <si>
    <t>HB1050</t>
  </si>
  <si>
    <t>HB1051</t>
  </si>
  <si>
    <t>HB1052</t>
  </si>
  <si>
    <t>HB1053</t>
  </si>
  <si>
    <t>HB1054</t>
  </si>
  <si>
    <t>HB1055</t>
  </si>
  <si>
    <t>HB1056</t>
  </si>
  <si>
    <t>HB1057</t>
  </si>
  <si>
    <t>HB1058</t>
  </si>
  <si>
    <t>HB1059</t>
  </si>
  <si>
    <t>HB1060</t>
  </si>
  <si>
    <t>HB1061</t>
  </si>
  <si>
    <t>HB1062</t>
  </si>
  <si>
    <t>HB1063</t>
  </si>
  <si>
    <t>HB1064</t>
  </si>
  <si>
    <t>HB1065</t>
  </si>
  <si>
    <t>HB1066</t>
  </si>
  <si>
    <t>HB1067</t>
  </si>
  <si>
    <t>HB1068</t>
  </si>
  <si>
    <t>HB1069</t>
  </si>
  <si>
    <t>HB1070</t>
  </si>
  <si>
    <t>HB1071</t>
  </si>
  <si>
    <t>HB1072</t>
  </si>
  <si>
    <t>HB1073</t>
  </si>
  <si>
    <t>HB1074</t>
  </si>
  <si>
    <t>HB1075</t>
  </si>
  <si>
    <t>HB1076</t>
  </si>
  <si>
    <t>HB1077</t>
  </si>
  <si>
    <t>HB1078</t>
  </si>
  <si>
    <t>HB1079</t>
  </si>
  <si>
    <t>HB1080</t>
  </si>
  <si>
    <t>HB1081</t>
  </si>
  <si>
    <t>HB1082</t>
  </si>
  <si>
    <t>HB1083</t>
  </si>
  <si>
    <t>HB1084</t>
  </si>
  <si>
    <t>HB1085</t>
  </si>
  <si>
    <t>HB1086</t>
  </si>
  <si>
    <t>HB1087</t>
  </si>
  <si>
    <t>HB1088</t>
  </si>
  <si>
    <t>HB1089</t>
  </si>
  <si>
    <t>HB1090</t>
  </si>
  <si>
    <t>HB1091</t>
  </si>
  <si>
    <t>HB1092</t>
  </si>
  <si>
    <t>HB1093</t>
  </si>
  <si>
    <t>HB1094</t>
  </si>
  <si>
    <t>HB1095</t>
  </si>
  <si>
    <t>HB1096</t>
  </si>
  <si>
    <t>HB1097</t>
  </si>
  <si>
    <t>HB1098</t>
  </si>
  <si>
    <t>HB1099</t>
  </si>
  <si>
    <t>HB1100</t>
  </si>
  <si>
    <t>HB1101</t>
  </si>
  <si>
    <t>HB1102</t>
  </si>
  <si>
    <t>HB1103</t>
  </si>
  <si>
    <t>HB1104</t>
  </si>
  <si>
    <t>HB1105</t>
  </si>
  <si>
    <t>HB1106</t>
  </si>
  <si>
    <t>HB1107</t>
  </si>
  <si>
    <t>HB1108</t>
  </si>
  <si>
    <t>HB1109</t>
  </si>
  <si>
    <t>HB1110</t>
  </si>
  <si>
    <t>HB1111</t>
  </si>
  <si>
    <t>HB1112</t>
  </si>
  <si>
    <t>HB1113</t>
  </si>
  <si>
    <t>HB1114</t>
  </si>
  <si>
    <t>HB1115</t>
  </si>
  <si>
    <t>HB1116</t>
  </si>
  <si>
    <t>HB1117</t>
  </si>
  <si>
    <t>HB1118</t>
  </si>
  <si>
    <t>HB1119</t>
  </si>
  <si>
    <t>HB1120</t>
  </si>
  <si>
    <t>HB1121</t>
  </si>
  <si>
    <t>HB1122</t>
  </si>
  <si>
    <t>HB1123</t>
  </si>
  <si>
    <t>HB1124</t>
  </si>
  <si>
    <t>HB1125</t>
  </si>
  <si>
    <t>HB1126</t>
  </si>
  <si>
    <t>HB1127</t>
  </si>
  <si>
    <t>HB1128</t>
  </si>
  <si>
    <t>HB1129</t>
  </si>
  <si>
    <t>HB1130</t>
  </si>
  <si>
    <t>HB1131</t>
  </si>
  <si>
    <t>HB1132</t>
  </si>
  <si>
    <t>HB1133</t>
  </si>
  <si>
    <t>HB1134</t>
  </si>
  <si>
    <t>HB1135</t>
  </si>
  <si>
    <t>HB1136</t>
  </si>
  <si>
    <t>HB1137</t>
  </si>
  <si>
    <t>HB1138</t>
  </si>
  <si>
    <t>HB1139</t>
  </si>
  <si>
    <t>HB1140</t>
  </si>
  <si>
    <t>HB1141</t>
  </si>
  <si>
    <t>HB1142</t>
  </si>
  <si>
    <t>HB1143</t>
  </si>
  <si>
    <t>HB1144</t>
  </si>
  <si>
    <t>HB1145</t>
  </si>
  <si>
    <t>HB1146</t>
  </si>
  <si>
    <t>HB1147</t>
  </si>
  <si>
    <t>HB1148</t>
  </si>
  <si>
    <t>HB1149</t>
  </si>
  <si>
    <t>HB1150</t>
  </si>
  <si>
    <t>HB1151</t>
  </si>
  <si>
    <t>HB1152</t>
  </si>
  <si>
    <t>HB1153</t>
  </si>
  <si>
    <t>HB1154</t>
  </si>
  <si>
    <t>HB1155</t>
  </si>
  <si>
    <t>HB1156</t>
  </si>
  <si>
    <t>HB1157</t>
  </si>
  <si>
    <t>HB1158</t>
  </si>
  <si>
    <t>HB1159</t>
  </si>
  <si>
    <t>HB1160</t>
  </si>
  <si>
    <t>HB1161</t>
  </si>
  <si>
    <t>HB1162</t>
  </si>
  <si>
    <t>HB1163</t>
  </si>
  <si>
    <t>HB1164</t>
  </si>
  <si>
    <t>HB1165</t>
  </si>
  <si>
    <t>HB1166</t>
  </si>
  <si>
    <t>HB1167</t>
  </si>
  <si>
    <t>HB1168</t>
  </si>
  <si>
    <t>HB1169</t>
  </si>
  <si>
    <t>HB1170</t>
  </si>
  <si>
    <t>HB1171</t>
  </si>
  <si>
    <t>HB1172</t>
  </si>
  <si>
    <t>HB1173</t>
  </si>
  <si>
    <t>HB1174</t>
  </si>
  <si>
    <t>HB1175</t>
  </si>
  <si>
    <t>HB1176</t>
  </si>
  <si>
    <t>HB1177</t>
  </si>
  <si>
    <t>HB1178</t>
  </si>
  <si>
    <t>HB1179</t>
  </si>
  <si>
    <t>HB1180</t>
  </si>
  <si>
    <t>HB1181</t>
  </si>
  <si>
    <t>HB1182</t>
  </si>
  <si>
    <t>HB1183</t>
  </si>
  <si>
    <t>HB1184</t>
  </si>
  <si>
    <t>HB1185</t>
  </si>
  <si>
    <t>HB1186</t>
  </si>
  <si>
    <t>HB1187</t>
  </si>
  <si>
    <t>HB1188</t>
  </si>
  <si>
    <t>HB1189</t>
  </si>
  <si>
    <t>HB1190</t>
  </si>
  <si>
    <t>HB1191</t>
  </si>
  <si>
    <t>HB1192</t>
  </si>
  <si>
    <t>HB1193</t>
  </si>
  <si>
    <t>HB1194</t>
  </si>
  <si>
    <t>HB1195</t>
  </si>
  <si>
    <t>HB1196</t>
  </si>
  <si>
    <t>HB1197</t>
  </si>
  <si>
    <t>HB1198</t>
  </si>
  <si>
    <t>HB1199</t>
  </si>
  <si>
    <t>HB1200</t>
  </si>
  <si>
    <t>Night Stayed</t>
  </si>
  <si>
    <t>Total Bill</t>
  </si>
  <si>
    <t>Check-In-Month</t>
  </si>
  <si>
    <t>HOTEL BOOKING DASHBOARD</t>
  </si>
  <si>
    <t>ANALYZE BOOKING,REVENUE &amp;GUEST EXPERIENCE</t>
  </si>
  <si>
    <t>Row Labels</t>
  </si>
  <si>
    <t>Grand Total</t>
  </si>
  <si>
    <t>Count of Booking_ID</t>
  </si>
  <si>
    <t>Sum of Total Bill</t>
  </si>
  <si>
    <t>Average of Room_Rate</t>
  </si>
  <si>
    <t>Average of Rating</t>
  </si>
  <si>
    <t>Average of Night Stayed</t>
  </si>
  <si>
    <t>Values</t>
  </si>
  <si>
    <t>Cancellation rate</t>
  </si>
  <si>
    <t>Count of Booking_Status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</si>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</sst>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mmm\-yyyy"/>
    <numFmt numFmtId="165" formatCode="[$$-C09]#,##0"/>
    <numFmt numFmtId="166" formatCode="[$₹-4009]\ #,##0"/>
  </numFmts>
  <fonts count="4" x14ac:knownFonts="1">
    <font>
      <sz val="11"/>
      <color theme="1"/>
      <name val="Calibri"/>
      <family val="2"/>
      <scheme val="minor"/>
    </font>
    <font>
      <b/>
      <sz val="11"/>
      <color theme="1"/>
      <name val="Calibri"/>
      <family val="2"/>
      <scheme val="minor"/>
    </font>
    <font>
      <b/>
      <sz val="36"/>
      <color theme="0"/>
      <name val="Calibri"/>
      <family val="2"/>
      <scheme val="minor"/>
    </font>
    <font>
      <b/>
      <sz val="16"/>
      <color rgb="FFFFFF00"/>
      <name val="Calibri"/>
      <family val="2"/>
      <scheme val="minor"/>
    </font>
  </fonts>
  <fills count="4">
    <fill>
      <patternFill patternType="none"/>
    </fill>
    <fill>
      <patternFill patternType="gray125"/>
    </fill>
    <fill>
      <patternFill patternType="solid">
        <fgColor theme="3" tint="-0.499984740745262"/>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1" xfId="0" applyBorder="1"/>
    <xf numFmtId="164" fontId="0" fillId="0" borderId="1" xfId="0" applyNumberFormat="1" applyBorder="1"/>
    <xf numFmtId="0" fontId="1" fillId="0" borderId="1" xfId="0" applyFont="1" applyBorder="1"/>
    <xf numFmtId="0" fontId="0" fillId="2" borderId="0" xfId="0" applyFill="1"/>
    <xf numFmtId="0" fontId="0" fillId="3" borderId="0" xfId="0" applyFill="1"/>
    <xf numFmtId="0" fontId="2" fillId="2" borderId="0" xfId="0" applyFont="1" applyFill="1" applyAlignment="1">
      <alignment horizontal="left" vertical="center"/>
    </xf>
    <xf numFmtId="0" fontId="3" fillId="2" borderId="0" xfId="0" applyFont="1" applyFill="1"/>
    <xf numFmtId="0" fontId="0" fillId="0" borderId="0" xfId="0" pivotButton="1"/>
    <xf numFmtId="0" fontId="0" fillId="0" borderId="0" xfId="0" applyAlignment="1">
      <alignment horizontal="left"/>
    </xf>
    <xf numFmtId="1" fontId="0" fillId="0" borderId="0" xfId="0" applyNumberFormat="1"/>
    <xf numFmtId="165" fontId="0" fillId="0" borderId="0" xfId="0" applyNumberFormat="1"/>
    <xf numFmtId="2" fontId="0" fillId="0" borderId="0" xfId="0" applyNumberFormat="1"/>
    <xf numFmtId="10" fontId="0" fillId="0" borderId="0" xfId="0" applyNumberFormat="1"/>
    <xf numFmtId="166" fontId="0" fillId="0" borderId="0" xfId="0" applyNumberFormat="1"/>
  </cellXfs>
  <cellStyles count="1">
    <cellStyle name="Normal" xfId="0" builtinId="0"/>
  </cellStyles>
  <dxfs count="29">
    <dxf>
      <numFmt numFmtId="1" formatCode="0"/>
    </dxf>
    <dxf>
      <numFmt numFmtId="1" formatCode="0"/>
    </dxf>
    <dxf>
      <numFmt numFmtId="1" formatCode="0"/>
    </dxf>
    <dxf>
      <numFmt numFmtId="166" formatCode="[$₹-4009]\ #,##0"/>
    </dxf>
    <dxf>
      <numFmt numFmtId="2" formatCode="0.00"/>
    </dxf>
    <dxf>
      <numFmt numFmtId="2" formatCode="0.00"/>
    </dxf>
    <dxf>
      <numFmt numFmtId="1" formatCode="0"/>
    </dxf>
    <dxf>
      <numFmt numFmtId="1" formatCode="0"/>
    </dxf>
    <dxf>
      <numFmt numFmtId="165" formatCode="[$$-C09]#,##0"/>
    </dxf>
    <dxf>
      <numFmt numFmtId="1" formatCode="0"/>
    </dxf>
    <dxf>
      <numFmt numFmtId="165" formatCode="[$$-C09]#,##0"/>
    </dxf>
    <dxf>
      <numFmt numFmtId="1" formatCode="0"/>
    </dxf>
    <dxf>
      <numFmt numFmtId="1" formatCode="0"/>
    </dxf>
    <dxf>
      <numFmt numFmtId="165" formatCode="[$$-C09]#,##0"/>
    </dxf>
    <dxf>
      <numFmt numFmtId="1" formatCode="0"/>
    </dxf>
    <dxf>
      <numFmt numFmtId="1" formatCode="0"/>
    </dxf>
    <dxf>
      <font>
        <b/>
        <color theme="1"/>
      </font>
      <border>
        <bottom style="thin">
          <color theme="4"/>
        </bottom>
        <vertical/>
        <horizontal/>
      </border>
    </dxf>
    <dxf>
      <font>
        <color theme="1"/>
      </font>
      <fill>
        <patternFill patternType="solid">
          <fgColor rgb="FF002060"/>
        </patternFill>
      </fill>
      <border>
        <left style="thin">
          <color theme="4"/>
        </left>
        <right style="thin">
          <color theme="4"/>
        </right>
        <top style="thin">
          <color theme="4"/>
        </top>
        <bottom style="thin">
          <color theme="4"/>
        </bottom>
        <vertical/>
        <horizontal/>
      </border>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rgb="FF002060"/>
        </patternFill>
      </fill>
    </dxf>
    <dxf>
      <fill>
        <patternFill>
          <bgColor theme="3" tint="-0.499984740745262"/>
        </patternFill>
      </fill>
    </dxf>
    <dxf>
      <fill>
        <patternFill>
          <bgColor rgb="FF002060"/>
        </patternFill>
      </fill>
    </dxf>
    <dxf>
      <fill>
        <patternFill>
          <bgColor rgb="FF002060"/>
        </patternFill>
      </fill>
    </dxf>
    <dxf>
      <fill>
        <patternFill>
          <bgColor theme="0"/>
        </patternFill>
      </fill>
    </dxf>
    <dxf>
      <fill>
        <patternFill>
          <bgColor rgb="FF002060"/>
        </patternFill>
      </fill>
    </dxf>
    <dxf>
      <font>
        <color theme="0"/>
      </font>
      <fill>
        <patternFill>
          <bgColor rgb="FF002060"/>
        </patternFill>
      </fill>
    </dxf>
  </dxfs>
  <tableStyles count="8" defaultTableStyle="TableStyleMedium9" defaultPivotStyle="PivotStyleLight16">
    <tableStyle name="Slicer Style 1" pivot="0" table="0" count="1" xr9:uid="{9367006F-E21D-42DB-8F35-453BD4FC6C8F}">
      <tableStyleElement type="wholeTable" dxfId="28"/>
    </tableStyle>
    <tableStyle name="Slicer Style 2" pivot="0" table="0" count="2" xr9:uid="{32342487-3C48-4074-A1FE-B1FD71332BAC}">
      <tableStyleElement type="wholeTable" dxfId="27"/>
      <tableStyleElement type="headerRow" dxfId="26"/>
    </tableStyle>
    <tableStyle name="Slicer Style 2 2" pivot="0" table="0" count="4" xr9:uid="{DF523B72-027C-4FF3-AAD9-DA91434E1C9C}">
      <tableStyleElement type="wholeTable" dxfId="25"/>
      <tableStyleElement type="headerRow" dxfId="24"/>
    </tableStyle>
    <tableStyle name="Slicer Style 2 2 2" pivot="0" table="0" count="4" xr9:uid="{C622A270-1E13-4FCB-81AA-9238CD18D6F9}">
      <tableStyleElement type="wholeTable" dxfId="23"/>
      <tableStyleElement type="headerRow" dxfId="22"/>
    </tableStyle>
    <tableStyle name="Slicer Style 2 2 2 2" pivot="0" table="0" count="4" xr9:uid="{112B1DEB-E13C-477B-B72C-85FF6EFA4478}">
      <tableStyleElement type="wholeTable" dxfId="21"/>
      <tableStyleElement type="headerRow" dxfId="20"/>
    </tableStyle>
    <tableStyle name="Slicer Style 3" pivot="0" table="0" count="3" xr9:uid="{592C1070-7BE5-4A11-851F-720090EEE5AE}">
      <tableStyleElement type="headerRow" dxfId="19"/>
    </tableStyle>
    <tableStyle name="Slicer Style 4" pivot="0" table="0" count="5" xr9:uid="{9AAC7A6F-54EF-4FE5-A406-7F8D01239167}">
      <tableStyleElement type="headerRow" dxfId="18"/>
    </tableStyle>
    <tableStyle name="SlicerStyleDark1 2" pivot="0" table="0" count="10" xr9:uid="{AE5E5096-9227-4A3A-A932-0E0E0361982A}">
      <tableStyleElement type="wholeTable" dxfId="17"/>
      <tableStyleElement type="headerRow" dxfId="16"/>
    </tableStyle>
  </tableStyles>
  <extLst>
    <ext xmlns:x14="http://schemas.microsoft.com/office/spreadsheetml/2009/9/main" uri="{46F421CA-312F-682f-3DD2-61675219B42D}">
      <x14:dxfs count="2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2 2">
          <x14:slicerStyleElements>
            <x14:slicerStyleElement type="selectedItemWithData" dxfId="19"/>
            <x14:slicerStyleElement type="selectedItemWithNoData" dxfId="18"/>
          </x14:slicerStyleElements>
        </x14:slicerStyle>
        <x14:slicerStyle name="Slicer Style 2 2 2">
          <x14:slicerStyleElements>
            <x14:slicerStyleElement type="selectedItemWithData" dxfId="17"/>
            <x14:slicerStyleElement type="selectedItemWithNoData" dxfId="16"/>
          </x14:slicerStyleElements>
        </x14:slicerStyle>
        <x14:slicerStyle name="Slicer Style 2 2 2 2">
          <x14:slicerStyleElements>
            <x14:slicerStyleElement type="selectedItemWithData" dxfId="15"/>
            <x14:slicerStyleElement type="selectedItemWithNoData" dxfId="14"/>
          </x14:slicerStyleElements>
        </x14:slicerStyle>
        <x14:slicerStyle name="Slicer Style 3">
          <x14:slicerStyleElements>
            <x14:slicerStyleElement type="selectedItemWithData" dxfId="13"/>
            <x14:slicerStyleElement type="selectedItemWithNoData" dxfId="12"/>
          </x14:slicerStyleElements>
        </x14:slicerStyle>
        <x14:slicerStyle name="Slicer Style 4">
          <x14:slicerStyleElements>
            <x14:slicerStyleElement type="unselectedItemWithData" dxfId="11"/>
            <x14:slicerStyleElement type="unselectedItemWithNoData" dxfId="10"/>
            <x14:slicerStyleElement type="selectedItemWithData" dxfId="9"/>
            <x14:slicerStyleElement type="selectedItemWithNoData" dxfId="8"/>
          </x14:slicerStyleElements>
        </x14:slicerStyle>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[Hotel_Booking_Dashboard.xlsx]Analysis!PivotTable3</c:name>
    <c:fmtId val="0"/>
  </c:pivotSource>
  <c:chart>
    <c:autoTitleDeleted val="1"/>
    <c:pivotFmts>
      <c:pivotFmt>
        <c:idx val="0"/>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6.3888888888888884E-2"/>
              <c:y val="-3.713450292397661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w="19050">
            <a:solidFill>
              <a:schemeClr val="lt1"/>
            </a:solidFill>
          </a:ln>
          <a:effectLst/>
        </c:spPr>
        <c:dLbl>
          <c:idx val="0"/>
          <c:layout>
            <c:manualLayout>
              <c:x val="6.9444444444444448E-2"/>
              <c:y val="-4.1776315789473682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w="19050">
            <a:solidFill>
              <a:schemeClr val="lt1"/>
            </a:solidFill>
          </a:ln>
          <a:effectLst/>
        </c:spPr>
        <c:dLbl>
          <c:idx val="0"/>
          <c:layout>
            <c:manualLayout>
              <c:x val="-5.2777777777777778E-2"/>
              <c:y val="7.8910818713450293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w="19050">
            <a:solidFill>
              <a:schemeClr val="lt1"/>
            </a:solidFill>
          </a:ln>
          <a:effectLst/>
        </c:spPr>
        <c:dLbl>
          <c:idx val="0"/>
          <c:layout>
            <c:manualLayout>
              <c:x val="5.2777777777777778E-2"/>
              <c:y val="7.4269005847953221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8.4745762711864306E-2"/>
              <c:y val="-0.10676169590643279"/>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6.2146781440455552E-2"/>
              <c:y val="-0.1253289473684211"/>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6892655367231634E-2"/>
                  <c:h val="8.9146198830409362E-2"/>
                </c:manualLayout>
              </c15:layout>
            </c:ext>
          </c:extLst>
        </c:dLbl>
      </c:pivotFmt>
    </c:pivotFmts>
    <c:plotArea>
      <c:layout/>
      <c:doughnutChart>
        <c:varyColors val="1"/>
        <c:ser>
          <c:idx val="0"/>
          <c:order val="0"/>
          <c:tx>
            <c:strRef>
              <c:f>Analysis!$H$3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1821-4546-895C-7C58BB07A8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1821-4546-895C-7C58BB07A8A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1821-4546-895C-7C58BB07A8A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2-1821-4546-895C-7C58BB07A8A3}"/>
              </c:ext>
            </c:extLst>
          </c:dPt>
          <c:dLbls>
            <c:dLbl>
              <c:idx val="0"/>
              <c:layout>
                <c:manualLayout>
                  <c:x val="8.4745762711864306E-2"/>
                  <c:y val="-0.106761695906432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821-4546-895C-7C58BB07A8A3}"/>
                </c:ext>
              </c:extLst>
            </c:dLbl>
            <c:dLbl>
              <c:idx val="1"/>
              <c:layout>
                <c:manualLayout>
                  <c:x val="-6.2146781440455552E-2"/>
                  <c:y val="-0.1253289473684211"/>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6892655367231634E-2"/>
                      <c:h val="8.9146198830409362E-2"/>
                    </c:manualLayout>
                  </c15:layout>
                </c:ext>
                <c:ext xmlns:c16="http://schemas.microsoft.com/office/drawing/2014/chart" uri="{C3380CC4-5D6E-409C-BE32-E72D297353CC}">
                  <c16:uniqueId val="{00000005-1821-4546-895C-7C58BB07A8A3}"/>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Analysis!$G$4:$G$6</c:f>
              <c:strCache>
                <c:ptCount val="2"/>
                <c:pt idx="0">
                  <c:v>City Hotel</c:v>
                </c:pt>
                <c:pt idx="1">
                  <c:v>Resort Hotel</c:v>
                </c:pt>
              </c:strCache>
            </c:strRef>
          </c:cat>
          <c:val>
            <c:numRef>
              <c:f>Analysis!$H$4:$H$6</c:f>
              <c:numCache>
                <c:formatCode>0</c:formatCode>
                <c:ptCount val="2"/>
                <c:pt idx="0">
                  <c:v>102</c:v>
                </c:pt>
                <c:pt idx="1">
                  <c:v>98</c:v>
                </c:pt>
              </c:numCache>
            </c:numRef>
          </c:val>
          <c:extLst>
            <c:ext xmlns:c16="http://schemas.microsoft.com/office/drawing/2014/chart" uri="{C3380CC4-5D6E-409C-BE32-E72D297353CC}">
              <c16:uniqueId val="{00000000-1821-4546-895C-7C58BB07A8A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[Hotel_Booking_Dashboard.xlsx]Analysis!PivotTable4</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BOOKINGS</a:t>
            </a:r>
            <a:r>
              <a:rPr lang="en-US" b="1" baseline="0">
                <a:solidFill>
                  <a:schemeClr val="tx1"/>
                </a:solidFill>
              </a:rPr>
              <a:t> BY ROOM TYPE</a:t>
            </a:r>
            <a:endParaRPr lang="en-US" b="1">
              <a:solidFill>
                <a:schemeClr val="tx1"/>
              </a:solidFill>
            </a:endParaRPr>
          </a:p>
        </c:rich>
      </c:tx>
      <c:layout>
        <c:manualLayout>
          <c:xMode val="edge"/>
          <c:yMode val="edge"/>
          <c:x val="4.6562335958005248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Analysis!$J$4:$J$8</c:f>
              <c:strCache>
                <c:ptCount val="4"/>
                <c:pt idx="0">
                  <c:v>Deluxe</c:v>
                </c:pt>
                <c:pt idx="1">
                  <c:v>Executive</c:v>
                </c:pt>
                <c:pt idx="2">
                  <c:v>Standard</c:v>
                </c:pt>
                <c:pt idx="3">
                  <c:v>Suite</c:v>
                </c:pt>
              </c:strCache>
            </c:strRef>
          </c:cat>
          <c:val>
            <c:numRef>
              <c:f>Analysis!$K$4:$K$8</c:f>
              <c:numCache>
                <c:formatCode>0</c:formatCode>
                <c:ptCount val="4"/>
                <c:pt idx="0">
                  <c:v>54</c:v>
                </c:pt>
                <c:pt idx="1">
                  <c:v>33</c:v>
                </c:pt>
                <c:pt idx="2">
                  <c:v>57</c:v>
                </c:pt>
                <c:pt idx="3">
                  <c:v>56</c:v>
                </c:pt>
              </c:numCache>
            </c:numRef>
          </c:val>
          <c:extLst>
            <c:ext xmlns:c16="http://schemas.microsoft.com/office/drawing/2014/chart" uri="{C3380CC4-5D6E-409C-BE32-E72D297353CC}">
              <c16:uniqueId val="{00000000-6028-4D49-A0CC-DB98E5ECCE2A}"/>
            </c:ext>
          </c:extLst>
        </c:ser>
        <c:dLbls>
          <c:dLblPos val="outEnd"/>
          <c:showLegendKey val="0"/>
          <c:showVal val="1"/>
          <c:showCatName val="0"/>
          <c:showSerName val="0"/>
          <c:showPercent val="0"/>
          <c:showBubbleSize val="0"/>
        </c:dLbls>
        <c:gapWidth val="50"/>
        <c:overlap val="-27"/>
        <c:axId val="60814864"/>
        <c:axId val="206462000"/>
      </c:barChart>
      <c:catAx>
        <c:axId val="60814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6462000"/>
        <c:crosses val="autoZero"/>
        <c:auto val="1"/>
        <c:lblAlgn val="ctr"/>
        <c:lblOffset val="100"/>
        <c:noMultiLvlLbl val="0"/>
      </c:catAx>
      <c:valAx>
        <c:axId val="206462000"/>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Bookings</a:t>
                </a:r>
              </a:p>
            </c:rich>
          </c:tx>
          <c:layout>
            <c:manualLayout>
              <c:xMode val="edge"/>
              <c:yMode val="edge"/>
              <c:x val="1.9444444444444445E-2"/>
              <c:y val="0.41479549431321094"/>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0814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[Hotel_Booking_Dashboard.xlsx]Analysis!PivotTable5</c:name>
    <c:fmtId val="2"/>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BOOKING</a:t>
            </a:r>
            <a:r>
              <a:rPr lang="en-US" sz="1200" b="1" baseline="0">
                <a:solidFill>
                  <a:schemeClr val="tx1"/>
                </a:solidFill>
              </a:rPr>
              <a:t> STATUS DISTIBUTION</a:t>
            </a:r>
            <a:endParaRPr lang="en-US" sz="1200" b="1">
              <a:solidFill>
                <a:schemeClr val="tx1"/>
              </a:solidFill>
            </a:endParaRPr>
          </a:p>
        </c:rich>
      </c:tx>
      <c:layout>
        <c:manualLayout>
          <c:xMode val="edge"/>
          <c:yMode val="edge"/>
          <c:x val="2.1493000874890651E-2"/>
          <c:y val="2.7777777777777776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Analysis!$B$11</c:f>
              <c:strCache>
                <c:ptCount val="1"/>
                <c:pt idx="0">
                  <c:v>Total</c:v>
                </c:pt>
              </c:strCache>
            </c:strRef>
          </c:tx>
          <c:spPr>
            <a:solidFill>
              <a:srgbClr val="00B050"/>
            </a:solidFill>
            <a:ln>
              <a:noFill/>
            </a:ln>
            <a:effectLst/>
          </c:spPr>
          <c:invertIfNegative val="0"/>
          <c:cat>
            <c:strRef>
              <c:f>Analysis!$A$12:$A$16</c:f>
              <c:strCache>
                <c:ptCount val="4"/>
                <c:pt idx="0">
                  <c:v>Cancelled</c:v>
                </c:pt>
                <c:pt idx="1">
                  <c:v>Checked Out</c:v>
                </c:pt>
                <c:pt idx="2">
                  <c:v>Confirmed</c:v>
                </c:pt>
                <c:pt idx="3">
                  <c:v>No Show</c:v>
                </c:pt>
              </c:strCache>
            </c:strRef>
          </c:cat>
          <c:val>
            <c:numRef>
              <c:f>Analysis!$B$12:$B$16</c:f>
              <c:numCache>
                <c:formatCode>0</c:formatCode>
                <c:ptCount val="4"/>
                <c:pt idx="0">
                  <c:v>45</c:v>
                </c:pt>
                <c:pt idx="1">
                  <c:v>62</c:v>
                </c:pt>
                <c:pt idx="2">
                  <c:v>47</c:v>
                </c:pt>
                <c:pt idx="3">
                  <c:v>46</c:v>
                </c:pt>
              </c:numCache>
            </c:numRef>
          </c:val>
          <c:extLst>
            <c:ext xmlns:c16="http://schemas.microsoft.com/office/drawing/2014/chart" uri="{C3380CC4-5D6E-409C-BE32-E72D297353CC}">
              <c16:uniqueId val="{00000000-816A-4E25-9C44-38326CFD0804}"/>
            </c:ext>
          </c:extLst>
        </c:ser>
        <c:dLbls>
          <c:showLegendKey val="0"/>
          <c:showVal val="0"/>
          <c:showCatName val="0"/>
          <c:showSerName val="0"/>
          <c:showPercent val="0"/>
          <c:showBubbleSize val="0"/>
        </c:dLbls>
        <c:gapWidth val="50"/>
        <c:axId val="702798272"/>
        <c:axId val="696009968"/>
      </c:barChart>
      <c:catAx>
        <c:axId val="702798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96009968"/>
        <c:crosses val="autoZero"/>
        <c:auto val="1"/>
        <c:lblAlgn val="ctr"/>
        <c:lblOffset val="100"/>
        <c:noMultiLvlLbl val="0"/>
      </c:catAx>
      <c:valAx>
        <c:axId val="6960099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Booking</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02798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[Hotel_Booking_Dashboard.xlsx]Analysis!PivotTable6</c:name>
    <c:fmtId val="8"/>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HOTEL</a:t>
            </a:r>
            <a:r>
              <a:rPr lang="en-US" sz="1200" b="1" baseline="0">
                <a:solidFill>
                  <a:schemeClr val="tx1"/>
                </a:solidFill>
              </a:rPr>
              <a:t> TYPE BY TOTAL REVENUE</a:t>
            </a:r>
            <a:endParaRPr lang="en-US" sz="1200" b="1">
              <a:solidFill>
                <a:schemeClr val="tx1"/>
              </a:solidFill>
            </a:endParaRPr>
          </a:p>
        </c:rich>
      </c:tx>
      <c:layout>
        <c:manualLayout>
          <c:xMode val="edge"/>
          <c:yMode val="edge"/>
          <c:x val="2.963188976377952E-2"/>
          <c:y val="2.7777777777777776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24781277340329"/>
          <c:y val="0.15578703703703703"/>
          <c:w val="0.75397440944881888"/>
          <c:h val="0.73218394575678036"/>
        </c:manualLayout>
      </c:layout>
      <c:barChart>
        <c:barDir val="bar"/>
        <c:grouping val="clustered"/>
        <c:varyColors val="0"/>
        <c:ser>
          <c:idx val="0"/>
          <c:order val="0"/>
          <c:tx>
            <c:strRef>
              <c:f>Analysis!$E$11</c:f>
              <c:strCache>
                <c:ptCount val="1"/>
                <c:pt idx="0">
                  <c:v>Total</c:v>
                </c:pt>
              </c:strCache>
            </c:strRef>
          </c:tx>
          <c:spPr>
            <a:solidFill>
              <a:srgbClr val="92D050"/>
            </a:solidFill>
            <a:ln>
              <a:noFill/>
            </a:ln>
            <a:effectLst/>
          </c:spPr>
          <c:invertIfNegative val="0"/>
          <c:cat>
            <c:strRef>
              <c:f>Analysis!$D$12:$D$14</c:f>
              <c:strCache>
                <c:ptCount val="2"/>
                <c:pt idx="0">
                  <c:v>City Hotel</c:v>
                </c:pt>
                <c:pt idx="1">
                  <c:v>Resort Hotel</c:v>
                </c:pt>
              </c:strCache>
            </c:strRef>
          </c:cat>
          <c:val>
            <c:numRef>
              <c:f>Analysis!$E$12:$E$14</c:f>
              <c:numCache>
                <c:formatCode>0</c:formatCode>
                <c:ptCount val="2"/>
                <c:pt idx="0">
                  <c:v>3149635</c:v>
                </c:pt>
                <c:pt idx="1">
                  <c:v>3399476</c:v>
                </c:pt>
              </c:numCache>
            </c:numRef>
          </c:val>
          <c:extLst>
            <c:ext xmlns:c16="http://schemas.microsoft.com/office/drawing/2014/chart" uri="{C3380CC4-5D6E-409C-BE32-E72D297353CC}">
              <c16:uniqueId val="{00000000-7A9F-41BF-8E70-3A48B9FBE09D}"/>
            </c:ext>
          </c:extLst>
        </c:ser>
        <c:dLbls>
          <c:showLegendKey val="0"/>
          <c:showVal val="0"/>
          <c:showCatName val="0"/>
          <c:showSerName val="0"/>
          <c:showPercent val="0"/>
          <c:showBubbleSize val="0"/>
        </c:dLbls>
        <c:gapWidth val="50"/>
        <c:axId val="694149456"/>
        <c:axId val="695977808"/>
      </c:barChart>
      <c:catAx>
        <c:axId val="694149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95977808"/>
        <c:crosses val="autoZero"/>
        <c:auto val="1"/>
        <c:lblAlgn val="ctr"/>
        <c:lblOffset val="100"/>
        <c:noMultiLvlLbl val="0"/>
      </c:catAx>
      <c:valAx>
        <c:axId val="69597780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9414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[Hotel_Booking_Dashboard.xlsx]Analysis!PivotTable7</c:name>
    <c:fmtId val="1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TOTAL</a:t>
            </a:r>
            <a:r>
              <a:rPr lang="en-US" b="1" baseline="0">
                <a:solidFill>
                  <a:schemeClr val="tx1"/>
                </a:solidFill>
              </a:rPr>
              <a:t> REVENUE BY ROOM TYPE</a:t>
            </a:r>
            <a:endParaRPr lang="en-US" b="1">
              <a:solidFill>
                <a:schemeClr val="tx1"/>
              </a:solidFill>
            </a:endParaRPr>
          </a:p>
        </c:rich>
      </c:tx>
      <c:layout>
        <c:manualLayout>
          <c:xMode val="edge"/>
          <c:yMode val="edge"/>
          <c:x val="1.2923447069116356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Analysis!$H$11</c:f>
              <c:strCache>
                <c:ptCount val="1"/>
                <c:pt idx="0">
                  <c:v>Total</c:v>
                </c:pt>
              </c:strCache>
            </c:strRef>
          </c:tx>
          <c:spPr>
            <a:solidFill>
              <a:srgbClr val="7030A0"/>
            </a:solidFill>
            <a:ln>
              <a:noFill/>
            </a:ln>
            <a:effectLst/>
          </c:spPr>
          <c:invertIfNegative val="0"/>
          <c:cat>
            <c:strRef>
              <c:f>Analysis!$G$12:$G$16</c:f>
              <c:strCache>
                <c:ptCount val="4"/>
                <c:pt idx="0">
                  <c:v>Deluxe</c:v>
                </c:pt>
                <c:pt idx="1">
                  <c:v>Executive</c:v>
                </c:pt>
                <c:pt idx="2">
                  <c:v>Standard</c:v>
                </c:pt>
                <c:pt idx="3">
                  <c:v>Suite</c:v>
                </c:pt>
              </c:strCache>
            </c:strRef>
          </c:cat>
          <c:val>
            <c:numRef>
              <c:f>Analysis!$H$12:$H$16</c:f>
              <c:numCache>
                <c:formatCode>0</c:formatCode>
                <c:ptCount val="4"/>
                <c:pt idx="0">
                  <c:v>1647451</c:v>
                </c:pt>
                <c:pt idx="1">
                  <c:v>1176264</c:v>
                </c:pt>
                <c:pt idx="2">
                  <c:v>1890798</c:v>
                </c:pt>
                <c:pt idx="3">
                  <c:v>1834598</c:v>
                </c:pt>
              </c:numCache>
            </c:numRef>
          </c:val>
          <c:extLst>
            <c:ext xmlns:c16="http://schemas.microsoft.com/office/drawing/2014/chart" uri="{C3380CC4-5D6E-409C-BE32-E72D297353CC}">
              <c16:uniqueId val="{00000000-98A9-4DD1-9A9E-708C90CBD1B9}"/>
            </c:ext>
          </c:extLst>
        </c:ser>
        <c:dLbls>
          <c:showLegendKey val="0"/>
          <c:showVal val="0"/>
          <c:showCatName val="0"/>
          <c:showSerName val="0"/>
          <c:showPercent val="0"/>
          <c:showBubbleSize val="0"/>
        </c:dLbls>
        <c:gapWidth val="50"/>
        <c:overlap val="-27"/>
        <c:axId val="694140640"/>
        <c:axId val="695996528"/>
      </c:barChart>
      <c:catAx>
        <c:axId val="69414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95996528"/>
        <c:crosses val="autoZero"/>
        <c:auto val="1"/>
        <c:lblAlgn val="ctr"/>
        <c:lblOffset val="100"/>
        <c:noMultiLvlLbl val="0"/>
      </c:catAx>
      <c:valAx>
        <c:axId val="6959965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9414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[Hotel_Booking_Dashboard.xlsx]Analysis!PivotTable8</c:name>
    <c:fmtId val="2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TOTAL</a:t>
            </a:r>
            <a:r>
              <a:rPr lang="en-US" b="1" baseline="0">
                <a:solidFill>
                  <a:schemeClr val="tx1"/>
                </a:solidFill>
              </a:rPr>
              <a:t> REVENUE BY CHECK-IN-MONTH</a:t>
            </a:r>
            <a:endParaRPr lang="en-US" b="1">
              <a:solidFill>
                <a:schemeClr val="tx1"/>
              </a:solidFill>
            </a:endParaRPr>
          </a:p>
        </c:rich>
      </c:tx>
      <c:layout>
        <c:manualLayout>
          <c:xMode val="edge"/>
          <c:yMode val="edge"/>
          <c:x val="2.7903878086667725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269002089024592E-2"/>
          <c:y val="0.16245370370370371"/>
          <c:w val="0.90592827682254007"/>
          <c:h val="0.72088764946048411"/>
        </c:manualLayout>
      </c:layout>
      <c:lineChart>
        <c:grouping val="standard"/>
        <c:varyColors val="0"/>
        <c:ser>
          <c:idx val="0"/>
          <c:order val="0"/>
          <c:tx>
            <c:strRef>
              <c:f>Analysis!$K$11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Analysis!$J$12:$J$24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Analysis!$K$12:$K$24</c:f>
              <c:numCache>
                <c:formatCode>[$$-C09]#,##0</c:formatCode>
                <c:ptCount val="12"/>
                <c:pt idx="0">
                  <c:v>527314</c:v>
                </c:pt>
                <c:pt idx="1">
                  <c:v>306951</c:v>
                </c:pt>
                <c:pt idx="2">
                  <c:v>452239</c:v>
                </c:pt>
                <c:pt idx="3">
                  <c:v>445103</c:v>
                </c:pt>
                <c:pt idx="4">
                  <c:v>675124</c:v>
                </c:pt>
                <c:pt idx="5">
                  <c:v>755715</c:v>
                </c:pt>
                <c:pt idx="6">
                  <c:v>477156</c:v>
                </c:pt>
                <c:pt idx="7">
                  <c:v>650018</c:v>
                </c:pt>
                <c:pt idx="8">
                  <c:v>673880</c:v>
                </c:pt>
                <c:pt idx="9">
                  <c:v>521604</c:v>
                </c:pt>
                <c:pt idx="10">
                  <c:v>450051</c:v>
                </c:pt>
                <c:pt idx="11">
                  <c:v>613956</c:v>
                </c:pt>
              </c:numCache>
            </c:numRef>
          </c:val>
          <c:smooth val="0"/>
          <c:extLst>
            <c:ext xmlns:c16="http://schemas.microsoft.com/office/drawing/2014/chart" uri="{C3380CC4-5D6E-409C-BE32-E72D297353CC}">
              <c16:uniqueId val="{00000000-AF1A-412A-B7A8-1E45CA283B02}"/>
            </c:ext>
          </c:extLst>
        </c:ser>
        <c:dLbls>
          <c:showLegendKey val="0"/>
          <c:showVal val="0"/>
          <c:showCatName val="0"/>
          <c:showSerName val="0"/>
          <c:showPercent val="0"/>
          <c:showBubbleSize val="0"/>
        </c:dLbls>
        <c:marker val="1"/>
        <c:smooth val="0"/>
        <c:axId val="287771791"/>
        <c:axId val="162403375"/>
      </c:lineChart>
      <c:catAx>
        <c:axId val="287771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2403375"/>
        <c:crossesAt val="0"/>
        <c:auto val="1"/>
        <c:lblAlgn val="ctr"/>
        <c:lblOffset val="100"/>
        <c:noMultiLvlLbl val="0"/>
      </c:catAx>
      <c:valAx>
        <c:axId val="16240337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sz="900" b="1">
                    <a:solidFill>
                      <a:schemeClr val="tx1"/>
                    </a:solidFill>
                  </a:rPr>
                  <a:t>REVENUE(USD)</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87771791"/>
        <c:crosses val="autoZero"/>
        <c:crossBetween val="between"/>
        <c:dispUnits>
          <c:builtInUnit val="hundre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[Hotel_Booking_Dashboard.xlsx]Analysis!PivotTable9</c:name>
    <c:fmtId val="2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AVERAGE</a:t>
            </a:r>
            <a:r>
              <a:rPr lang="en-US" b="1" baseline="0">
                <a:solidFill>
                  <a:schemeClr val="tx1"/>
                </a:solidFill>
              </a:rPr>
              <a:t> RATING BY HOTEL TYPE</a:t>
            </a:r>
            <a:endParaRPr lang="en-US" b="1">
              <a:solidFill>
                <a:schemeClr val="tx1"/>
              </a:solidFill>
            </a:endParaRPr>
          </a:p>
        </c:rich>
      </c:tx>
      <c:layout>
        <c:manualLayout>
          <c:xMode val="edge"/>
          <c:yMode val="edge"/>
          <c:x val="2.4513779527559069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numFmt formatCode="#\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chemeClr val="accent6"/>
          </a:solidFill>
          <a:ln>
            <a:noFill/>
          </a:ln>
          <a:effectLst/>
        </c:spPr>
      </c:pivotFmt>
    </c:pivotFmts>
    <c:plotArea>
      <c:layout/>
      <c:barChart>
        <c:barDir val="col"/>
        <c:grouping val="clustered"/>
        <c:varyColors val="0"/>
        <c:ser>
          <c:idx val="0"/>
          <c:order val="0"/>
          <c:tx>
            <c:strRef>
              <c:f>Analysis!$E$17</c:f>
              <c:strCache>
                <c:ptCount val="1"/>
                <c:pt idx="0">
                  <c:v>Total</c:v>
                </c:pt>
              </c:strCache>
            </c:strRef>
          </c:tx>
          <c:spPr>
            <a:solidFill>
              <a:schemeClr val="accent6"/>
            </a:solidFill>
            <a:ln>
              <a:noFill/>
            </a:ln>
            <a:effectLst/>
          </c:spPr>
          <c:invertIfNegative val="0"/>
          <c:dLbls>
            <c:numFmt formatCode="#\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Analysis!$D$18:$D$20</c:f>
              <c:strCache>
                <c:ptCount val="2"/>
                <c:pt idx="0">
                  <c:v>City Hotel</c:v>
                </c:pt>
                <c:pt idx="1">
                  <c:v>Resort Hotel</c:v>
                </c:pt>
              </c:strCache>
            </c:strRef>
          </c:cat>
          <c:val>
            <c:numRef>
              <c:f>Analysis!$E$18:$E$20</c:f>
              <c:numCache>
                <c:formatCode>0</c:formatCode>
                <c:ptCount val="2"/>
                <c:pt idx="0">
                  <c:v>2.9509803921568629</c:v>
                </c:pt>
                <c:pt idx="1">
                  <c:v>2.8571428571428572</c:v>
                </c:pt>
              </c:numCache>
            </c:numRef>
          </c:val>
          <c:extLst>
            <c:ext xmlns:c16="http://schemas.microsoft.com/office/drawing/2014/chart" uri="{C3380CC4-5D6E-409C-BE32-E72D297353CC}">
              <c16:uniqueId val="{00000000-8295-4853-AD56-3AFEB4B736DD}"/>
            </c:ext>
          </c:extLst>
        </c:ser>
        <c:dLbls>
          <c:showLegendKey val="0"/>
          <c:showVal val="0"/>
          <c:showCatName val="0"/>
          <c:showSerName val="0"/>
          <c:showPercent val="0"/>
          <c:showBubbleSize val="0"/>
        </c:dLbls>
        <c:gapWidth val="219"/>
        <c:overlap val="-27"/>
        <c:axId val="464075247"/>
        <c:axId val="162321775"/>
      </c:barChart>
      <c:catAx>
        <c:axId val="46407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2321775"/>
        <c:crosses val="autoZero"/>
        <c:auto val="1"/>
        <c:lblAlgn val="ctr"/>
        <c:lblOffset val="100"/>
        <c:noMultiLvlLbl val="0"/>
      </c:catAx>
      <c:valAx>
        <c:axId val="162321775"/>
        <c:scaling>
          <c:orientation val="minMax"/>
          <c:max val="5"/>
          <c:min val="1"/>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Average</a:t>
                </a:r>
                <a:r>
                  <a:rPr lang="en-US" b="1" baseline="0">
                    <a:solidFill>
                      <a:schemeClr val="tx1"/>
                    </a:solidFill>
                  </a:rPr>
                  <a:t> Rating</a:t>
                </a:r>
                <a:endParaRPr lang="en-US" b="1">
                  <a:solidFill>
                    <a:schemeClr val="tx1"/>
                  </a:solidFill>
                </a:endParaRPr>
              </a:p>
            </c:rich>
          </c:tx>
          <c:layout>
            <c:manualLayout>
              <c:xMode val="edge"/>
              <c:yMode val="edge"/>
              <c:x val="1.9444444444444445E-2"/>
              <c:y val="0.36794364246135902"/>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64075247"/>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[Hotel_Booking_Dashboard.xlsx]Analysis!PivotTable10</c:name>
    <c:fmtId val="29"/>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AVERAGE</a:t>
            </a:r>
            <a:r>
              <a:rPr lang="en-US" sz="1200" b="1" baseline="0">
                <a:solidFill>
                  <a:schemeClr val="tx1"/>
                </a:solidFill>
              </a:rPr>
              <a:t> ROOM RATE BY ROOM TYPE</a:t>
            </a:r>
            <a:endParaRPr lang="en-US" sz="1200" b="1">
              <a:solidFill>
                <a:schemeClr val="tx1"/>
              </a:solidFill>
            </a:endParaRPr>
          </a:p>
        </c:rich>
      </c:tx>
      <c:layout>
        <c:manualLayout>
          <c:xMode val="edge"/>
          <c:yMode val="edge"/>
          <c:x val="1.4840113735783018E-2"/>
          <c:y val="3.7037037037037035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Analysis!$N$11</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Analysis!$M$12:$M$16</c:f>
              <c:strCache>
                <c:ptCount val="4"/>
                <c:pt idx="0">
                  <c:v>Deluxe</c:v>
                </c:pt>
                <c:pt idx="1">
                  <c:v>Executive</c:v>
                </c:pt>
                <c:pt idx="2">
                  <c:v>Standard</c:v>
                </c:pt>
                <c:pt idx="3">
                  <c:v>Suite</c:v>
                </c:pt>
              </c:strCache>
            </c:strRef>
          </c:cat>
          <c:val>
            <c:numRef>
              <c:f>Analysis!$N$12:$N$16</c:f>
              <c:numCache>
                <c:formatCode>[$$-C09]#,##0</c:formatCode>
                <c:ptCount val="4"/>
                <c:pt idx="0">
                  <c:v>7693.0185185185182</c:v>
                </c:pt>
                <c:pt idx="1">
                  <c:v>7746.818181818182</c:v>
                </c:pt>
                <c:pt idx="2">
                  <c:v>7495.4035087719294</c:v>
                </c:pt>
                <c:pt idx="3">
                  <c:v>7668.9821428571431</c:v>
                </c:pt>
              </c:numCache>
            </c:numRef>
          </c:val>
          <c:extLst>
            <c:ext xmlns:c16="http://schemas.microsoft.com/office/drawing/2014/chart" uri="{C3380CC4-5D6E-409C-BE32-E72D297353CC}">
              <c16:uniqueId val="{00000000-52E8-410B-AB70-9BD1D78C9972}"/>
            </c:ext>
          </c:extLst>
        </c:ser>
        <c:dLbls>
          <c:dLblPos val="outEnd"/>
          <c:showLegendKey val="0"/>
          <c:showVal val="1"/>
          <c:showCatName val="0"/>
          <c:showSerName val="0"/>
          <c:showPercent val="0"/>
          <c:showBubbleSize val="0"/>
        </c:dLbls>
        <c:gapWidth val="70"/>
        <c:axId val="552786719"/>
        <c:axId val="162432655"/>
      </c:barChart>
      <c:catAx>
        <c:axId val="552786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2432655"/>
        <c:crosses val="autoZero"/>
        <c:auto val="1"/>
        <c:lblAlgn val="ctr"/>
        <c:lblOffset val="100"/>
        <c:noMultiLvlLbl val="0"/>
      </c:catAx>
      <c:valAx>
        <c:axId val="162432655"/>
        <c:scaling>
          <c:orientation val="minMax"/>
          <c:max val="8000"/>
          <c:min val="0"/>
        </c:scaling>
        <c:delete val="0"/>
        <c:axPos val="b"/>
        <c:title>
          <c:tx>
            <c:rich>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sz="900" b="1">
                    <a:solidFill>
                      <a:schemeClr val="tx1"/>
                    </a:solidFill>
                  </a:rPr>
                  <a:t>Average</a:t>
                </a:r>
                <a:r>
                  <a:rPr lang="en-US" sz="900" b="1" baseline="0">
                    <a:solidFill>
                      <a:schemeClr val="tx1"/>
                    </a:solidFill>
                  </a:rPr>
                  <a:t> Rating</a:t>
                </a:r>
                <a:endParaRPr lang="en-US" sz="900" b="1">
                  <a:solidFill>
                    <a:schemeClr val="tx1"/>
                  </a:solidFill>
                </a:endParaRP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52786719"/>
        <c:crosses val="autoZero"/>
        <c:crossBetween val="between"/>
        <c:majorUnit val="2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[Hotel_Booking_Dashboard.xlsx]Analysis!PivotTable3</c:name>
    <c:fmtId val="9"/>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BOOKING</a:t>
            </a:r>
            <a:r>
              <a:rPr lang="en-US" sz="1600" b="1" baseline="0">
                <a:solidFill>
                  <a:schemeClr val="tx1"/>
                </a:solidFill>
              </a:rPr>
              <a:t> BY HOTEL TYPE</a:t>
            </a:r>
            <a:endParaRPr lang="en-US" sz="1600" b="1">
              <a:solidFill>
                <a:schemeClr val="tx1"/>
              </a:solidFill>
            </a:endParaRPr>
          </a:p>
        </c:rich>
      </c:tx>
      <c:layout>
        <c:manualLayout>
          <c:xMode val="edge"/>
          <c:yMode val="edge"/>
          <c:x val="2.4977856788386259E-2"/>
          <c:y val="3.2801831736934475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6.3888888888888884E-2"/>
              <c:y val="-3.713450292397661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w="19050">
            <a:solidFill>
              <a:schemeClr val="lt1"/>
            </a:solidFill>
          </a:ln>
          <a:effectLst/>
        </c:spPr>
        <c:dLbl>
          <c:idx val="0"/>
          <c:layout>
            <c:manualLayout>
              <c:x val="6.9444444444444448E-2"/>
              <c:y val="-4.1776315789473682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w="19050">
            <a:solidFill>
              <a:schemeClr val="lt1"/>
            </a:solidFill>
          </a:ln>
          <a:effectLst/>
        </c:spPr>
        <c:dLbl>
          <c:idx val="0"/>
          <c:layout>
            <c:manualLayout>
              <c:x val="-5.2777777777777778E-2"/>
              <c:y val="7.8910818713450293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w="19050">
            <a:solidFill>
              <a:schemeClr val="lt1"/>
            </a:solidFill>
          </a:ln>
          <a:effectLst/>
        </c:spPr>
        <c:dLbl>
          <c:idx val="0"/>
          <c:layout>
            <c:manualLayout>
              <c:x val="5.2777777777777778E-2"/>
              <c:y val="7.4269005847953221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w="19050">
            <a:solidFill>
              <a:schemeClr val="lt1"/>
            </a:solidFill>
          </a:ln>
          <a:effectLst/>
        </c:spPr>
        <c:dLbl>
          <c:idx val="0"/>
          <c:layout>
            <c:manualLayout>
              <c:x val="6.9444444444444448E-2"/>
              <c:y val="-4.1776315789473682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w="19050">
            <a:solidFill>
              <a:schemeClr val="lt1"/>
            </a:solidFill>
          </a:ln>
          <a:effectLst/>
        </c:spPr>
        <c:dLbl>
          <c:idx val="0"/>
          <c:layout>
            <c:manualLayout>
              <c:x val="5.2777777777777778E-2"/>
              <c:y val="7.4269005847953221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7030A0"/>
          </a:solidFill>
          <a:ln w="19050">
            <a:solidFill>
              <a:schemeClr val="lt1"/>
            </a:solidFill>
          </a:ln>
          <a:effectLst/>
        </c:spPr>
        <c:dLbl>
          <c:idx val="0"/>
          <c:layout>
            <c:manualLayout>
              <c:x val="-5.2777777777777778E-2"/>
              <c:y val="7.8910818713450293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dLbl>
          <c:idx val="0"/>
          <c:layout>
            <c:manualLayout>
              <c:x val="-6.3888888888888884E-2"/>
              <c:y val="-3.713450292397661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75000"/>
            </a:schemeClr>
          </a:solidFill>
          <a:ln w="19050">
            <a:solidFill>
              <a:schemeClr val="lt1"/>
            </a:solidFill>
          </a:ln>
          <a:effectLst/>
        </c:spPr>
        <c:dLbl>
          <c:idx val="0"/>
          <c:layout>
            <c:manualLayout>
              <c:x val="6.9444444444444448E-2"/>
              <c:y val="-4.1776315789473682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C000"/>
          </a:solidFill>
          <a:ln w="19050">
            <a:solidFill>
              <a:schemeClr val="lt1"/>
            </a:solidFill>
          </a:ln>
          <a:effectLst/>
        </c:spPr>
        <c:dLbl>
          <c:idx val="0"/>
          <c:layout>
            <c:manualLayout>
              <c:x val="5.2777777777777778E-2"/>
              <c:y val="7.4269005847953221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7030A0"/>
          </a:solidFill>
          <a:ln w="19050">
            <a:solidFill>
              <a:schemeClr val="lt1"/>
            </a:solidFill>
          </a:ln>
          <a:effectLst/>
        </c:spPr>
        <c:dLbl>
          <c:idx val="0"/>
          <c:layout>
            <c:manualLayout>
              <c:x val="-5.2777777777777778E-2"/>
              <c:y val="7.8910818713450293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w="19050">
            <a:solidFill>
              <a:schemeClr val="lt1"/>
            </a:solidFill>
          </a:ln>
          <a:effectLst/>
        </c:spPr>
        <c:dLbl>
          <c:idx val="0"/>
          <c:layout>
            <c:manualLayout>
              <c:x val="-6.3888888888888884E-2"/>
              <c:y val="-3.713450292397661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solidFill>
          <a:ln w="19050">
            <a:solidFill>
              <a:schemeClr val="lt1"/>
            </a:solidFill>
          </a:ln>
          <a:effectLst/>
        </c:spPr>
        <c:dLbl>
          <c:idx val="0"/>
          <c:layout>
            <c:manualLayout>
              <c:x val="-4.4473704484490249E-2"/>
              <c:y val="-0.1679524126014563"/>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C000"/>
          </a:solidFill>
          <a:ln w="19050">
            <a:solidFill>
              <a:schemeClr val="lt1"/>
            </a:solidFill>
          </a:ln>
          <a:effectLst/>
        </c:spPr>
        <c:dLbl>
          <c:idx val="0"/>
          <c:layout>
            <c:manualLayout>
              <c:x val="6.1578975440063272E-2"/>
              <c:y val="-0.12476464936108191"/>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Analysis!$H$3</c:f>
              <c:strCache>
                <c:ptCount val="1"/>
                <c:pt idx="0">
                  <c:v>Total</c:v>
                </c:pt>
              </c:strCache>
            </c:strRef>
          </c:tx>
          <c:spPr>
            <a:solidFill>
              <a:srgbClr val="FFC000"/>
            </a:solidFill>
          </c:spPr>
          <c:dPt>
            <c:idx val="0"/>
            <c:bubble3D val="0"/>
            <c:spPr>
              <a:solidFill>
                <a:srgbClr val="FFC000"/>
              </a:solidFill>
              <a:ln w="19050">
                <a:solidFill>
                  <a:schemeClr val="lt1"/>
                </a:solidFill>
              </a:ln>
              <a:effectLst/>
            </c:spPr>
            <c:extLst>
              <c:ext xmlns:c16="http://schemas.microsoft.com/office/drawing/2014/chart" uri="{C3380CC4-5D6E-409C-BE32-E72D297353CC}">
                <c16:uniqueId val="{00000001-0AC6-41D8-99BE-08FF37266139}"/>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0AC6-41D8-99BE-08FF37266139}"/>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0AC6-41D8-99BE-08FF37266139}"/>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7-0AC6-41D8-99BE-08FF37266139}"/>
              </c:ext>
            </c:extLst>
          </c:dPt>
          <c:dLbls>
            <c:dLbl>
              <c:idx val="0"/>
              <c:layout>
                <c:manualLayout>
                  <c:x val="6.1578975440063272E-2"/>
                  <c:y val="-0.124764649361081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AC6-41D8-99BE-08FF37266139}"/>
                </c:ext>
              </c:extLst>
            </c:dLbl>
            <c:dLbl>
              <c:idx val="1"/>
              <c:layout>
                <c:manualLayout>
                  <c:x val="-4.4473704484490249E-2"/>
                  <c:y val="-0.16795241260145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AC6-41D8-99BE-08FF37266139}"/>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Analysis!$G$4:$G$6</c:f>
              <c:strCache>
                <c:ptCount val="2"/>
                <c:pt idx="0">
                  <c:v>City Hotel</c:v>
                </c:pt>
                <c:pt idx="1">
                  <c:v>Resort Hotel</c:v>
                </c:pt>
              </c:strCache>
            </c:strRef>
          </c:cat>
          <c:val>
            <c:numRef>
              <c:f>Analysis!$H$4:$H$6</c:f>
              <c:numCache>
                <c:formatCode>0</c:formatCode>
                <c:ptCount val="2"/>
                <c:pt idx="0">
                  <c:v>102</c:v>
                </c:pt>
                <c:pt idx="1">
                  <c:v>98</c:v>
                </c:pt>
              </c:numCache>
            </c:numRef>
          </c:val>
          <c:extLst>
            <c:ext xmlns:c16="http://schemas.microsoft.com/office/drawing/2014/chart" uri="{C3380CC4-5D6E-409C-BE32-E72D297353CC}">
              <c16:uniqueId val="{00000008-0AC6-41D8-99BE-08FF3726613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[Hotel_Booking_Dashboard.xlsx]Analysis!PivotTable4</c:name>
    <c:fmtId val="7"/>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BOOKINGS</a:t>
            </a:r>
            <a:r>
              <a:rPr lang="en-US" sz="1600" b="1" baseline="0">
                <a:solidFill>
                  <a:schemeClr val="tx1"/>
                </a:solidFill>
              </a:rPr>
              <a:t> BY ROOM TYPE</a:t>
            </a:r>
            <a:endParaRPr lang="en-US" sz="1600" b="1">
              <a:solidFill>
                <a:schemeClr val="tx1"/>
              </a:solidFill>
            </a:endParaRPr>
          </a:p>
        </c:rich>
      </c:tx>
      <c:layout>
        <c:manualLayout>
          <c:xMode val="edge"/>
          <c:yMode val="edge"/>
          <c:x val="4.6562335958005248E-2"/>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Analysis!$K$3</c:f>
              <c:strCache>
                <c:ptCount val="1"/>
                <c:pt idx="0">
                  <c:v>Total</c:v>
                </c:pt>
              </c:strCache>
            </c:strRef>
          </c:tx>
          <c:spPr>
            <a:solidFill>
              <a:srgbClr val="002060"/>
            </a:solidFill>
            <a:ln>
              <a:noFill/>
            </a:ln>
            <a:effectLst/>
          </c:spPr>
          <c:invertIfNegative val="0"/>
          <c:cat>
            <c:strRef>
              <c:f>Analysis!$J$4:$J$8</c:f>
              <c:strCache>
                <c:ptCount val="4"/>
                <c:pt idx="0">
                  <c:v>Deluxe</c:v>
                </c:pt>
                <c:pt idx="1">
                  <c:v>Executive</c:v>
                </c:pt>
                <c:pt idx="2">
                  <c:v>Standard</c:v>
                </c:pt>
                <c:pt idx="3">
                  <c:v>Suite</c:v>
                </c:pt>
              </c:strCache>
            </c:strRef>
          </c:cat>
          <c:val>
            <c:numRef>
              <c:f>Analysis!$K$4:$K$8</c:f>
              <c:numCache>
                <c:formatCode>0</c:formatCode>
                <c:ptCount val="4"/>
                <c:pt idx="0">
                  <c:v>54</c:v>
                </c:pt>
                <c:pt idx="1">
                  <c:v>33</c:v>
                </c:pt>
                <c:pt idx="2">
                  <c:v>57</c:v>
                </c:pt>
                <c:pt idx="3">
                  <c:v>56</c:v>
                </c:pt>
              </c:numCache>
            </c:numRef>
          </c:val>
          <c:extLst>
            <c:ext xmlns:c16="http://schemas.microsoft.com/office/drawing/2014/chart" uri="{C3380CC4-5D6E-409C-BE32-E72D297353CC}">
              <c16:uniqueId val="{00000000-A74C-47C8-9D1B-D114BD95D65B}"/>
            </c:ext>
          </c:extLst>
        </c:ser>
        <c:dLbls>
          <c:showLegendKey val="0"/>
          <c:showVal val="0"/>
          <c:showCatName val="0"/>
          <c:showSerName val="0"/>
          <c:showPercent val="0"/>
          <c:showBubbleSize val="0"/>
        </c:dLbls>
        <c:gapWidth val="50"/>
        <c:overlap val="-27"/>
        <c:axId val="60814864"/>
        <c:axId val="206462000"/>
      </c:barChart>
      <c:catAx>
        <c:axId val="60814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6462000"/>
        <c:crosses val="autoZero"/>
        <c:auto val="1"/>
        <c:lblAlgn val="ctr"/>
        <c:lblOffset val="100"/>
        <c:noMultiLvlLbl val="0"/>
      </c:catAx>
      <c:valAx>
        <c:axId val="206462000"/>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Bookings</a:t>
                </a:r>
              </a:p>
            </c:rich>
          </c:tx>
          <c:layout>
            <c:manualLayout>
              <c:xMode val="edge"/>
              <c:yMode val="edge"/>
              <c:x val="1.9444444444444445E-2"/>
              <c:y val="0.41479549431321094"/>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0814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[Hotel_Booking_Dashboard.xlsx]Analysis!PivotTable5</c:name>
    <c:fmtId val="7"/>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BOOKING</a:t>
            </a:r>
            <a:r>
              <a:rPr lang="en-US" sz="1600" b="1" baseline="0">
                <a:solidFill>
                  <a:schemeClr val="tx1"/>
                </a:solidFill>
              </a:rPr>
              <a:t> STATUS DISTIBUTION</a:t>
            </a:r>
            <a:endParaRPr lang="en-US" sz="1600" b="1">
              <a:solidFill>
                <a:schemeClr val="tx1"/>
              </a:solidFill>
            </a:endParaRPr>
          </a:p>
        </c:rich>
      </c:tx>
      <c:layout>
        <c:manualLayout>
          <c:xMode val="edge"/>
          <c:yMode val="edge"/>
          <c:x val="2.1493000874890651E-2"/>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pivotFmt>
      <c:pivotFmt>
        <c:idx val="4"/>
        <c:spPr>
          <a:solidFill>
            <a:srgbClr val="0070C0"/>
          </a:solidFill>
          <a:ln>
            <a:noFill/>
          </a:ln>
          <a:effectLst/>
        </c:spPr>
      </c:pivotFmt>
      <c:pivotFmt>
        <c:idx val="5"/>
        <c:spPr>
          <a:solidFill>
            <a:srgbClr val="FF0000"/>
          </a:solidFill>
          <a:ln>
            <a:noFill/>
          </a:ln>
          <a:effectLst/>
        </c:spPr>
      </c:pivotFmt>
    </c:pivotFmts>
    <c:plotArea>
      <c:layout>
        <c:manualLayout>
          <c:layoutTarget val="inner"/>
          <c:xMode val="edge"/>
          <c:yMode val="edge"/>
          <c:x val="0.21956714191067206"/>
          <c:y val="0.18096768919375131"/>
          <c:w val="0.73007952260837861"/>
          <c:h val="0.62002405560189722"/>
        </c:manualLayout>
      </c:layout>
      <c:barChart>
        <c:barDir val="bar"/>
        <c:grouping val="clustered"/>
        <c:varyColors val="0"/>
        <c:ser>
          <c:idx val="0"/>
          <c:order val="0"/>
          <c:tx>
            <c:strRef>
              <c:f>Analysis!$B$11</c:f>
              <c:strCache>
                <c:ptCount val="1"/>
                <c:pt idx="0">
                  <c:v>Total</c:v>
                </c:pt>
              </c:strCache>
            </c:strRef>
          </c:tx>
          <c:spPr>
            <a:solidFill>
              <a:srgbClr val="00B050"/>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2-195E-4EB4-A6E0-6A87F52E1AE0}"/>
              </c:ext>
            </c:extLst>
          </c:dPt>
          <c:dPt>
            <c:idx val="2"/>
            <c:invertIfNegative val="0"/>
            <c:bubble3D val="0"/>
            <c:spPr>
              <a:solidFill>
                <a:srgbClr val="0070C0"/>
              </a:solidFill>
              <a:ln>
                <a:noFill/>
              </a:ln>
              <a:effectLst/>
            </c:spPr>
            <c:extLst>
              <c:ext xmlns:c16="http://schemas.microsoft.com/office/drawing/2014/chart" uri="{C3380CC4-5D6E-409C-BE32-E72D297353CC}">
                <c16:uniqueId val="{00000001-195E-4EB4-A6E0-6A87F52E1AE0}"/>
              </c:ext>
            </c:extLst>
          </c:dPt>
          <c:dPt>
            <c:idx val="3"/>
            <c:invertIfNegative val="0"/>
            <c:bubble3D val="0"/>
            <c:spPr>
              <a:solidFill>
                <a:srgbClr val="FFC000"/>
              </a:solidFill>
              <a:ln>
                <a:noFill/>
              </a:ln>
              <a:effectLst/>
            </c:spPr>
            <c:extLst>
              <c:ext xmlns:c16="http://schemas.microsoft.com/office/drawing/2014/chart" uri="{C3380CC4-5D6E-409C-BE32-E72D297353CC}">
                <c16:uniqueId val="{00000000-195E-4EB4-A6E0-6A87F52E1AE0}"/>
              </c:ext>
            </c:extLst>
          </c:dPt>
          <c:cat>
            <c:strRef>
              <c:f>Analysis!$A$12:$A$16</c:f>
              <c:strCache>
                <c:ptCount val="4"/>
                <c:pt idx="0">
                  <c:v>Cancelled</c:v>
                </c:pt>
                <c:pt idx="1">
                  <c:v>Checked Out</c:v>
                </c:pt>
                <c:pt idx="2">
                  <c:v>Confirmed</c:v>
                </c:pt>
                <c:pt idx="3">
                  <c:v>No Show</c:v>
                </c:pt>
              </c:strCache>
            </c:strRef>
          </c:cat>
          <c:val>
            <c:numRef>
              <c:f>Analysis!$B$12:$B$16</c:f>
              <c:numCache>
                <c:formatCode>0</c:formatCode>
                <c:ptCount val="4"/>
                <c:pt idx="0">
                  <c:v>45</c:v>
                </c:pt>
                <c:pt idx="1">
                  <c:v>62</c:v>
                </c:pt>
                <c:pt idx="2">
                  <c:v>47</c:v>
                </c:pt>
                <c:pt idx="3">
                  <c:v>46</c:v>
                </c:pt>
              </c:numCache>
            </c:numRef>
          </c:val>
          <c:extLst>
            <c:ext xmlns:c16="http://schemas.microsoft.com/office/drawing/2014/chart" uri="{C3380CC4-5D6E-409C-BE32-E72D297353CC}">
              <c16:uniqueId val="{00000000-2C6A-408A-80A9-C0FFEDAB61D1}"/>
            </c:ext>
          </c:extLst>
        </c:ser>
        <c:dLbls>
          <c:showLegendKey val="0"/>
          <c:showVal val="0"/>
          <c:showCatName val="0"/>
          <c:showSerName val="0"/>
          <c:showPercent val="0"/>
          <c:showBubbleSize val="0"/>
        </c:dLbls>
        <c:gapWidth val="50"/>
        <c:axId val="702798272"/>
        <c:axId val="696009968"/>
      </c:barChart>
      <c:catAx>
        <c:axId val="702798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96009968"/>
        <c:crosses val="autoZero"/>
        <c:auto val="1"/>
        <c:lblAlgn val="ctr"/>
        <c:lblOffset val="100"/>
        <c:noMultiLvlLbl val="0"/>
      </c:catAx>
      <c:valAx>
        <c:axId val="6960099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Booking</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02798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[Hotel_Booking_Dashboard.xlsx]Analysis!PivotTable6</c:name>
    <c:fmtId val="1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a:solidFill>
                  <a:schemeClr val="tx1"/>
                </a:solidFill>
              </a:rPr>
              <a:t>HOTEL</a:t>
            </a:r>
            <a:r>
              <a:rPr lang="en-US" sz="1400" b="1" baseline="0">
                <a:solidFill>
                  <a:schemeClr val="tx1"/>
                </a:solidFill>
              </a:rPr>
              <a:t> TYPE BY TOTAL REVENUE</a:t>
            </a:r>
            <a:endParaRPr lang="en-US" sz="1400" b="1">
              <a:solidFill>
                <a:schemeClr val="tx1"/>
              </a:solidFill>
            </a:endParaRPr>
          </a:p>
        </c:rich>
      </c:tx>
      <c:layout>
        <c:manualLayout>
          <c:xMode val="edge"/>
          <c:yMode val="edge"/>
          <c:x val="2.963188976377952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Analysis!$E$11</c:f>
              <c:strCache>
                <c:ptCount val="1"/>
                <c:pt idx="0">
                  <c:v>Total</c:v>
                </c:pt>
              </c:strCache>
            </c:strRef>
          </c:tx>
          <c:spPr>
            <a:solidFill>
              <a:schemeClr val="accent2"/>
            </a:solidFill>
            <a:ln>
              <a:noFill/>
            </a:ln>
            <a:effectLst/>
          </c:spPr>
          <c:invertIfNegative val="0"/>
          <c:cat>
            <c:strRef>
              <c:f>Analysis!$D$12:$D$14</c:f>
              <c:strCache>
                <c:ptCount val="2"/>
                <c:pt idx="0">
                  <c:v>City Hotel</c:v>
                </c:pt>
                <c:pt idx="1">
                  <c:v>Resort Hotel</c:v>
                </c:pt>
              </c:strCache>
            </c:strRef>
          </c:cat>
          <c:val>
            <c:numRef>
              <c:f>Analysis!$E$12:$E$14</c:f>
              <c:numCache>
                <c:formatCode>0</c:formatCode>
                <c:ptCount val="2"/>
                <c:pt idx="0">
                  <c:v>3149635</c:v>
                </c:pt>
                <c:pt idx="1">
                  <c:v>3399476</c:v>
                </c:pt>
              </c:numCache>
            </c:numRef>
          </c:val>
          <c:extLst>
            <c:ext xmlns:c16="http://schemas.microsoft.com/office/drawing/2014/chart" uri="{C3380CC4-5D6E-409C-BE32-E72D297353CC}">
              <c16:uniqueId val="{00000000-D375-4398-9453-21D65FC1364C}"/>
            </c:ext>
          </c:extLst>
        </c:ser>
        <c:dLbls>
          <c:showLegendKey val="0"/>
          <c:showVal val="0"/>
          <c:showCatName val="0"/>
          <c:showSerName val="0"/>
          <c:showPercent val="0"/>
          <c:showBubbleSize val="0"/>
        </c:dLbls>
        <c:gapWidth val="50"/>
        <c:axId val="694149456"/>
        <c:axId val="695977808"/>
      </c:barChart>
      <c:catAx>
        <c:axId val="694149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95977808"/>
        <c:crosses val="autoZero"/>
        <c:auto val="1"/>
        <c:lblAlgn val="ctr"/>
        <c:lblOffset val="100"/>
        <c:noMultiLvlLbl val="0"/>
      </c:catAx>
      <c:valAx>
        <c:axId val="69597780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9414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[Hotel_Booking_Dashboard.xlsx]Analysis!PivotTable7</c:name>
    <c:fmtId val="17"/>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TOTAL</a:t>
            </a:r>
            <a:r>
              <a:rPr lang="en-US" sz="1600" b="1" baseline="0">
                <a:solidFill>
                  <a:schemeClr val="tx1"/>
                </a:solidFill>
              </a:rPr>
              <a:t> REVENUE BY ROOM TYPE</a:t>
            </a:r>
            <a:endParaRPr lang="en-US" sz="1600" b="1">
              <a:solidFill>
                <a:schemeClr val="tx1"/>
              </a:solidFill>
            </a:endParaRPr>
          </a:p>
        </c:rich>
      </c:tx>
      <c:layout>
        <c:manualLayout>
          <c:xMode val="edge"/>
          <c:yMode val="edge"/>
          <c:x val="1.2923447069116356E-2"/>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Analysis!$H$11</c:f>
              <c:strCache>
                <c:ptCount val="1"/>
                <c:pt idx="0">
                  <c:v>Total</c:v>
                </c:pt>
              </c:strCache>
            </c:strRef>
          </c:tx>
          <c:spPr>
            <a:solidFill>
              <a:srgbClr val="7030A0"/>
            </a:solidFill>
            <a:ln>
              <a:noFill/>
            </a:ln>
            <a:effectLst/>
          </c:spPr>
          <c:invertIfNegative val="0"/>
          <c:cat>
            <c:strRef>
              <c:f>Analysis!$G$12:$G$16</c:f>
              <c:strCache>
                <c:ptCount val="4"/>
                <c:pt idx="0">
                  <c:v>Deluxe</c:v>
                </c:pt>
                <c:pt idx="1">
                  <c:v>Executive</c:v>
                </c:pt>
                <c:pt idx="2">
                  <c:v>Standard</c:v>
                </c:pt>
                <c:pt idx="3">
                  <c:v>Suite</c:v>
                </c:pt>
              </c:strCache>
            </c:strRef>
          </c:cat>
          <c:val>
            <c:numRef>
              <c:f>Analysis!$H$12:$H$16</c:f>
              <c:numCache>
                <c:formatCode>0</c:formatCode>
                <c:ptCount val="4"/>
                <c:pt idx="0">
                  <c:v>1647451</c:v>
                </c:pt>
                <c:pt idx="1">
                  <c:v>1176264</c:v>
                </c:pt>
                <c:pt idx="2">
                  <c:v>1890798</c:v>
                </c:pt>
                <c:pt idx="3">
                  <c:v>1834598</c:v>
                </c:pt>
              </c:numCache>
            </c:numRef>
          </c:val>
          <c:extLst>
            <c:ext xmlns:c16="http://schemas.microsoft.com/office/drawing/2014/chart" uri="{C3380CC4-5D6E-409C-BE32-E72D297353CC}">
              <c16:uniqueId val="{00000000-560A-45AD-8785-9926E90483AE}"/>
            </c:ext>
          </c:extLst>
        </c:ser>
        <c:dLbls>
          <c:showLegendKey val="0"/>
          <c:showVal val="0"/>
          <c:showCatName val="0"/>
          <c:showSerName val="0"/>
          <c:showPercent val="0"/>
          <c:showBubbleSize val="0"/>
        </c:dLbls>
        <c:gapWidth val="50"/>
        <c:overlap val="-27"/>
        <c:axId val="694140640"/>
        <c:axId val="695996528"/>
      </c:barChart>
      <c:catAx>
        <c:axId val="69414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95996528"/>
        <c:crosses val="autoZero"/>
        <c:auto val="1"/>
        <c:lblAlgn val="ctr"/>
        <c:lblOffset val="100"/>
        <c:noMultiLvlLbl val="0"/>
      </c:catAx>
      <c:valAx>
        <c:axId val="6959965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9414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[Hotel_Booking_Dashboard.xlsx]Analysis!PivotTable8</c:name>
    <c:fmtId val="24"/>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TOTAL</a:t>
            </a:r>
            <a:r>
              <a:rPr lang="en-US" sz="1600" b="1" baseline="0">
                <a:solidFill>
                  <a:schemeClr val="tx1"/>
                </a:solidFill>
              </a:rPr>
              <a:t> REVENUE BY CHECK-IN-MONTH</a:t>
            </a:r>
            <a:endParaRPr lang="en-US" sz="1600" b="1">
              <a:solidFill>
                <a:schemeClr val="tx1"/>
              </a:solidFill>
            </a:endParaRPr>
          </a:p>
        </c:rich>
      </c:tx>
      <c:layout>
        <c:manualLayout>
          <c:xMode val="edge"/>
          <c:yMode val="edge"/>
          <c:x val="2.7903878086667725E-2"/>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 #,##0.00,\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8949863409930901E-2"/>
              <c:y val="-8.3894864981013562E-2"/>
            </c:manualLayout>
          </c:layout>
          <c:numFmt formatCode="&quot;₹&quot;\ #,##0.00,\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5752584498366276E-2"/>
              <c:y val="7.4573213316456416E-2"/>
            </c:manualLayout>
          </c:layout>
          <c:numFmt formatCode="&quot;₹&quot;\ #,##0.00,\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5752584498366276E-2"/>
              <c:y val="-6.9912387484177968E-2"/>
            </c:manualLayout>
          </c:layout>
          <c:numFmt formatCode="&quot;₹&quot;\ #,##0.00,\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8949863409930963E-2"/>
              <c:y val="7.9234039148734947E-2"/>
            </c:manualLayout>
          </c:layout>
          <c:numFmt formatCode="&quot;₹&quot;\ #,##0.00,\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0854625314692868E-2"/>
              <c:y val="-7.923403914873503E-2"/>
            </c:manualLayout>
          </c:layout>
          <c:numFmt formatCode="&quot;₹&quot;\ #,##0.00,\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405190422625743E-2"/>
              <c:y val="-6.9912387484177968E-2"/>
            </c:manualLayout>
          </c:layout>
          <c:numFmt formatCode="&quot;₹&quot;\ #,##0.00,\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5752584498366338E-2"/>
              <c:y val="6.0590735819620906E-2"/>
            </c:manualLayout>
          </c:layout>
          <c:numFmt formatCode="&quot;₹&quot;\ #,##0.00,\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5752584498366401E-2"/>
              <c:y val="-8.3894864981013603E-2"/>
            </c:manualLayout>
          </c:layout>
          <c:numFmt formatCode="&quot;₹&quot;\ #,##0.00,\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2351223954148592E-2"/>
              <c:y val="-6.9912387484177982E-2"/>
            </c:manualLayout>
          </c:layout>
          <c:numFmt formatCode="&quot;₹&quot;\ #,##0.00,\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2351223954148592E-2"/>
              <c:y val="7.9234039148734947E-2"/>
            </c:manualLayout>
          </c:layout>
          <c:numFmt formatCode="&quot;₹&quot;\ #,##0.00,\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915394504258396E-2"/>
              <c:y val="-8.3894864981013603E-2"/>
            </c:manualLayout>
          </c:layout>
          <c:numFmt formatCode="&quot;₹&quot;\ #,##0.00,\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0055841234131447E-2"/>
              <c:y val="-7.923403914873503E-2"/>
            </c:manualLayout>
          </c:layout>
          <c:numFmt formatCode="&quot;₹&quot;\ #,##0.00,\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Analysis!$K$11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B81A-4154-9918-ED769AEE00AF}"/>
              </c:ext>
            </c:extLst>
          </c:dPt>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B81A-4154-9918-ED769AEE00AF}"/>
              </c:ext>
            </c:extLst>
          </c:dPt>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B81A-4154-9918-ED769AEE00AF}"/>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4-B81A-4154-9918-ED769AEE00AF}"/>
              </c:ext>
            </c:extLst>
          </c:dPt>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B81A-4154-9918-ED769AEE00AF}"/>
              </c:ext>
            </c:extLst>
          </c:dPt>
          <c:dPt>
            <c:idx val="5"/>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6-B81A-4154-9918-ED769AEE00AF}"/>
              </c:ext>
            </c:extLst>
          </c:dPt>
          <c:dPt>
            <c:idx val="6"/>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7-B81A-4154-9918-ED769AEE00AF}"/>
              </c:ext>
            </c:extLst>
          </c:dPt>
          <c:dPt>
            <c:idx val="7"/>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8-B81A-4154-9918-ED769AEE00AF}"/>
              </c:ext>
            </c:extLst>
          </c:dPt>
          <c:dPt>
            <c:idx val="8"/>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9-B81A-4154-9918-ED769AEE00AF}"/>
              </c:ext>
            </c:extLst>
          </c:dPt>
          <c:dPt>
            <c:idx val="9"/>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A-B81A-4154-9918-ED769AEE00AF}"/>
              </c:ext>
            </c:extLst>
          </c:dPt>
          <c:dPt>
            <c:idx val="1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B-B81A-4154-9918-ED769AEE00AF}"/>
              </c:ext>
            </c:extLst>
          </c:dPt>
          <c:dPt>
            <c:idx val="1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C-B81A-4154-9918-ED769AEE00AF}"/>
              </c:ext>
            </c:extLst>
          </c:dPt>
          <c:dLbls>
            <c:dLbl>
              <c:idx val="0"/>
              <c:layout>
                <c:manualLayout>
                  <c:x val="-2.8949863409930901E-2"/>
                  <c:y val="-8.38948649810135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81A-4154-9918-ED769AEE00AF}"/>
                </c:ext>
              </c:extLst>
            </c:dLbl>
            <c:dLbl>
              <c:idx val="1"/>
              <c:layout>
                <c:manualLayout>
                  <c:x val="-3.5752584498366276E-2"/>
                  <c:y val="7.45732133164564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81A-4154-9918-ED769AEE00AF}"/>
                </c:ext>
              </c:extLst>
            </c:dLbl>
            <c:dLbl>
              <c:idx val="2"/>
              <c:layout>
                <c:manualLayout>
                  <c:x val="-3.5752584498366276E-2"/>
                  <c:y val="-6.99123874841779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81A-4154-9918-ED769AEE00AF}"/>
                </c:ext>
              </c:extLst>
            </c:dLbl>
            <c:dLbl>
              <c:idx val="3"/>
              <c:layout>
                <c:manualLayout>
                  <c:x val="-2.8949863409930963E-2"/>
                  <c:y val="7.92340391487349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81A-4154-9918-ED769AEE00AF}"/>
                </c:ext>
              </c:extLst>
            </c:dLbl>
            <c:dLbl>
              <c:idx val="4"/>
              <c:layout>
                <c:manualLayout>
                  <c:x val="-4.0854625314692868E-2"/>
                  <c:y val="-7.9234039148735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81A-4154-9918-ED769AEE00AF}"/>
                </c:ext>
              </c:extLst>
            </c:dLbl>
            <c:dLbl>
              <c:idx val="5"/>
              <c:layout>
                <c:manualLayout>
                  <c:x val="-3.405190422625743E-2"/>
                  <c:y val="-6.99123874841779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81A-4154-9918-ED769AEE00AF}"/>
                </c:ext>
              </c:extLst>
            </c:dLbl>
            <c:dLbl>
              <c:idx val="6"/>
              <c:layout>
                <c:manualLayout>
                  <c:x val="-3.5752584498366338E-2"/>
                  <c:y val="6.05907358196209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81A-4154-9918-ED769AEE00AF}"/>
                </c:ext>
              </c:extLst>
            </c:dLbl>
            <c:dLbl>
              <c:idx val="7"/>
              <c:layout>
                <c:manualLayout>
                  <c:x val="-3.5752584498366401E-2"/>
                  <c:y val="-8.38948649810136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81A-4154-9918-ED769AEE00AF}"/>
                </c:ext>
              </c:extLst>
            </c:dLbl>
            <c:dLbl>
              <c:idx val="8"/>
              <c:layout>
                <c:manualLayout>
                  <c:x val="-3.2351223954148592E-2"/>
                  <c:y val="-6.99123874841779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81A-4154-9918-ED769AEE00AF}"/>
                </c:ext>
              </c:extLst>
            </c:dLbl>
            <c:dLbl>
              <c:idx val="9"/>
              <c:layout>
                <c:manualLayout>
                  <c:x val="-3.2351223954148592E-2"/>
                  <c:y val="7.92340391487349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81A-4154-9918-ED769AEE00AF}"/>
                </c:ext>
              </c:extLst>
            </c:dLbl>
            <c:dLbl>
              <c:idx val="10"/>
              <c:layout>
                <c:manualLayout>
                  <c:x val="-3.915394504258396E-2"/>
                  <c:y val="-8.38948649810136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81A-4154-9918-ED769AEE00AF}"/>
                </c:ext>
              </c:extLst>
            </c:dLbl>
            <c:dLbl>
              <c:idx val="11"/>
              <c:layout>
                <c:manualLayout>
                  <c:x val="-3.0055841234131447E-2"/>
                  <c:y val="-7.9234039148735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81A-4154-9918-ED769AEE00AF}"/>
                </c:ext>
              </c:extLst>
            </c:dLbl>
            <c:numFmt formatCode="&quot;₹&quot;\ #,##0.00,\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Analysis!$J$12:$J$24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Analysis!$K$12:$K$24</c:f>
              <c:numCache>
                <c:formatCode>[$$-C09]#,##0</c:formatCode>
                <c:ptCount val="12"/>
                <c:pt idx="0">
                  <c:v>527314</c:v>
                </c:pt>
                <c:pt idx="1">
                  <c:v>306951</c:v>
                </c:pt>
                <c:pt idx="2">
                  <c:v>452239</c:v>
                </c:pt>
                <c:pt idx="3">
                  <c:v>445103</c:v>
                </c:pt>
                <c:pt idx="4">
                  <c:v>675124</c:v>
                </c:pt>
                <c:pt idx="5">
                  <c:v>755715</c:v>
                </c:pt>
                <c:pt idx="6">
                  <c:v>477156</c:v>
                </c:pt>
                <c:pt idx="7">
                  <c:v>650018</c:v>
                </c:pt>
                <c:pt idx="8">
                  <c:v>673880</c:v>
                </c:pt>
                <c:pt idx="9">
                  <c:v>521604</c:v>
                </c:pt>
                <c:pt idx="10">
                  <c:v>450051</c:v>
                </c:pt>
                <c:pt idx="11">
                  <c:v>613956</c:v>
                </c:pt>
              </c:numCache>
            </c:numRef>
          </c:val>
          <c:smooth val="0"/>
          <c:extLst>
            <c:ext xmlns:c16="http://schemas.microsoft.com/office/drawing/2014/chart" uri="{C3380CC4-5D6E-409C-BE32-E72D297353CC}">
              <c16:uniqueId val="{00000000-B81A-4154-9918-ED769AEE00AF}"/>
            </c:ext>
          </c:extLst>
        </c:ser>
        <c:dLbls>
          <c:dLblPos val="ctr"/>
          <c:showLegendKey val="0"/>
          <c:showVal val="1"/>
          <c:showCatName val="0"/>
          <c:showSerName val="0"/>
          <c:showPercent val="0"/>
          <c:showBubbleSize val="0"/>
        </c:dLbls>
        <c:marker val="1"/>
        <c:smooth val="0"/>
        <c:axId val="287771791"/>
        <c:axId val="162403375"/>
      </c:lineChart>
      <c:catAx>
        <c:axId val="287771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2403375"/>
        <c:crossesAt val="0"/>
        <c:auto val="1"/>
        <c:lblAlgn val="ctr"/>
        <c:lblOffset val="100"/>
        <c:noMultiLvlLbl val="0"/>
      </c:catAx>
      <c:valAx>
        <c:axId val="16240337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sz="900" b="1">
                    <a:solidFill>
                      <a:schemeClr val="tx1"/>
                    </a:solidFill>
                  </a:rPr>
                  <a:t>REVENUE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quot;₹&quot;\ #,##0.00,\L"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87771791"/>
        <c:crosses val="autoZero"/>
        <c:crossBetween val="between"/>
        <c:dispUnits>
          <c:builtInUnit val="hundre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[Hotel_Booking_Dashboard.xlsx]Analysis!PivotTable9</c:name>
    <c:fmtId val="30"/>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AVERAGE</a:t>
            </a:r>
            <a:r>
              <a:rPr lang="en-US" sz="1600" b="1" baseline="0">
                <a:solidFill>
                  <a:schemeClr val="tx1"/>
                </a:solidFill>
              </a:rPr>
              <a:t> RATING BY HOTEL TYPE</a:t>
            </a:r>
            <a:endParaRPr lang="en-US" sz="1600" b="1">
              <a:solidFill>
                <a:schemeClr val="tx1"/>
              </a:solidFill>
            </a:endParaRPr>
          </a:p>
        </c:rich>
      </c:tx>
      <c:layout>
        <c:manualLayout>
          <c:xMode val="edge"/>
          <c:yMode val="edge"/>
          <c:x val="2.4513779527559069E-2"/>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numFmt formatCode="#\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numFmt formatCode="#\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numFmt formatCode="#\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Analysis!$E$17</c:f>
              <c:strCache>
                <c:ptCount val="1"/>
                <c:pt idx="0">
                  <c:v>Total</c:v>
                </c:pt>
              </c:strCache>
            </c:strRef>
          </c:tx>
          <c:spPr>
            <a:solidFill>
              <a:schemeClr val="accent6"/>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0-A0B1-429A-8DC6-AF43118AB6DF}"/>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1-A0B1-429A-8DC6-AF43118AB6DF}"/>
              </c:ext>
            </c:extLst>
          </c:dPt>
          <c:dLbls>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0-A0B1-429A-8DC6-AF43118AB6DF}"/>
                </c:ext>
              </c:extLst>
            </c:dLbl>
            <c:dLbl>
              <c:idx val="1"/>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A0B1-429A-8DC6-AF43118AB6DF}"/>
                </c:ext>
              </c:extLst>
            </c:dLbl>
            <c:numFmt formatCode="#\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Analysis!$D$18:$D$20</c:f>
              <c:strCache>
                <c:ptCount val="2"/>
                <c:pt idx="0">
                  <c:v>City Hotel</c:v>
                </c:pt>
                <c:pt idx="1">
                  <c:v>Resort Hotel</c:v>
                </c:pt>
              </c:strCache>
            </c:strRef>
          </c:cat>
          <c:val>
            <c:numRef>
              <c:f>Analysis!$E$18:$E$20</c:f>
              <c:numCache>
                <c:formatCode>0</c:formatCode>
                <c:ptCount val="2"/>
                <c:pt idx="0">
                  <c:v>2.9509803921568629</c:v>
                </c:pt>
                <c:pt idx="1">
                  <c:v>2.8571428571428572</c:v>
                </c:pt>
              </c:numCache>
            </c:numRef>
          </c:val>
          <c:extLst>
            <c:ext xmlns:c16="http://schemas.microsoft.com/office/drawing/2014/chart" uri="{C3380CC4-5D6E-409C-BE32-E72D297353CC}">
              <c16:uniqueId val="{00000002-A0B1-429A-8DC6-AF43118AB6DF}"/>
            </c:ext>
          </c:extLst>
        </c:ser>
        <c:dLbls>
          <c:showLegendKey val="0"/>
          <c:showVal val="0"/>
          <c:showCatName val="0"/>
          <c:showSerName val="0"/>
          <c:showPercent val="0"/>
          <c:showBubbleSize val="0"/>
        </c:dLbls>
        <c:gapWidth val="219"/>
        <c:overlap val="-27"/>
        <c:axId val="464075247"/>
        <c:axId val="162321775"/>
      </c:barChart>
      <c:catAx>
        <c:axId val="46407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2321775"/>
        <c:crosses val="autoZero"/>
        <c:auto val="1"/>
        <c:lblAlgn val="ctr"/>
        <c:lblOffset val="100"/>
        <c:noMultiLvlLbl val="0"/>
      </c:catAx>
      <c:valAx>
        <c:axId val="162321775"/>
        <c:scaling>
          <c:orientation val="minMax"/>
          <c:max val="5"/>
          <c:min val="1"/>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Average</a:t>
                </a:r>
                <a:r>
                  <a:rPr lang="en-US" b="1" baseline="0">
                    <a:solidFill>
                      <a:schemeClr val="tx1"/>
                    </a:solidFill>
                  </a:rPr>
                  <a:t> Rating</a:t>
                </a:r>
                <a:endParaRPr lang="en-US" b="1">
                  <a:solidFill>
                    <a:schemeClr val="tx1"/>
                  </a:solidFill>
                </a:endParaRPr>
              </a:p>
            </c:rich>
          </c:tx>
          <c:layout>
            <c:manualLayout>
              <c:xMode val="edge"/>
              <c:yMode val="edge"/>
              <c:x val="1.9444444444444445E-2"/>
              <c:y val="0.36794364246135902"/>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64075247"/>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[Hotel_Booking_Dashboard.xlsx]Analysis!PivotTable10</c:name>
    <c:fmtId val="32"/>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AVERAGE</a:t>
            </a:r>
            <a:r>
              <a:rPr lang="en-US" sz="1600" b="1" baseline="0">
                <a:solidFill>
                  <a:schemeClr val="tx1"/>
                </a:solidFill>
              </a:rPr>
              <a:t> ROOM RATE BY ROOM TYPE</a:t>
            </a:r>
            <a:endParaRPr lang="en-US" sz="1600" b="1">
              <a:solidFill>
                <a:schemeClr val="tx1"/>
              </a:solidFill>
            </a:endParaRPr>
          </a:p>
        </c:rich>
      </c:tx>
      <c:layout>
        <c:manualLayout>
          <c:xMode val="edge"/>
          <c:yMode val="edge"/>
          <c:x val="1.4840113735783018E-2"/>
          <c:y val="3.7037037037037035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numFmt formatCode="&quot;₹&quot;\ #,##0.00,\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dLbl>
          <c:idx val="0"/>
          <c:layout>
            <c:manualLayout>
              <c:x val="0"/>
              <c:y val="-8.4362199423626067E-17"/>
            </c:manualLayout>
          </c:layout>
          <c:numFmt formatCode="&quot;₹&quot;\ #,##0.00,\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Analysis!$N$11</c:f>
              <c:strCache>
                <c:ptCount val="1"/>
                <c:pt idx="0">
                  <c:v>Total</c:v>
                </c:pt>
              </c:strCache>
            </c:strRef>
          </c:tx>
          <c:spPr>
            <a:solidFill>
              <a:schemeClr val="accent5">
                <a:lumMod val="75000"/>
              </a:schemeClr>
            </a:solidFill>
            <a:ln>
              <a:noFill/>
            </a:ln>
            <a:effectLst/>
          </c:spPr>
          <c:invertIfNegative val="0"/>
          <c:dPt>
            <c:idx val="1"/>
            <c:invertIfNegative val="0"/>
            <c:bubble3D val="0"/>
            <c:extLst>
              <c:ext xmlns:c16="http://schemas.microsoft.com/office/drawing/2014/chart" uri="{C3380CC4-5D6E-409C-BE32-E72D297353CC}">
                <c16:uniqueId val="{00000000-C317-4D93-8665-BD0657E6ECFB}"/>
              </c:ext>
            </c:extLst>
          </c:dPt>
          <c:dLbls>
            <c:dLbl>
              <c:idx val="1"/>
              <c:layout>
                <c:manualLayout>
                  <c:x val="0"/>
                  <c:y val="-8.4362199423626067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17-4D93-8665-BD0657E6ECFB}"/>
                </c:ext>
              </c:extLst>
            </c:dLbl>
            <c:numFmt formatCode="&quot;₹&quot;\ #,##0.00,\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Analysis!$M$12:$M$16</c:f>
              <c:strCache>
                <c:ptCount val="4"/>
                <c:pt idx="0">
                  <c:v>Deluxe</c:v>
                </c:pt>
                <c:pt idx="1">
                  <c:v>Executive</c:v>
                </c:pt>
                <c:pt idx="2">
                  <c:v>Standard</c:v>
                </c:pt>
                <c:pt idx="3">
                  <c:v>Suite</c:v>
                </c:pt>
              </c:strCache>
            </c:strRef>
          </c:cat>
          <c:val>
            <c:numRef>
              <c:f>Analysis!$N$12:$N$16</c:f>
              <c:numCache>
                <c:formatCode>[$$-C09]#,##0</c:formatCode>
                <c:ptCount val="4"/>
                <c:pt idx="0">
                  <c:v>7693.0185185185182</c:v>
                </c:pt>
                <c:pt idx="1">
                  <c:v>7746.818181818182</c:v>
                </c:pt>
                <c:pt idx="2">
                  <c:v>7495.4035087719294</c:v>
                </c:pt>
                <c:pt idx="3">
                  <c:v>7668.9821428571431</c:v>
                </c:pt>
              </c:numCache>
            </c:numRef>
          </c:val>
          <c:extLst>
            <c:ext xmlns:c16="http://schemas.microsoft.com/office/drawing/2014/chart" uri="{C3380CC4-5D6E-409C-BE32-E72D297353CC}">
              <c16:uniqueId val="{00000000-185B-4B26-93E0-6E1FDB5C2047}"/>
            </c:ext>
          </c:extLst>
        </c:ser>
        <c:dLbls>
          <c:dLblPos val="outEnd"/>
          <c:showLegendKey val="0"/>
          <c:showVal val="1"/>
          <c:showCatName val="0"/>
          <c:showSerName val="0"/>
          <c:showPercent val="0"/>
          <c:showBubbleSize val="0"/>
        </c:dLbls>
        <c:gapWidth val="70"/>
        <c:axId val="552786719"/>
        <c:axId val="162432655"/>
      </c:barChart>
      <c:catAx>
        <c:axId val="552786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2432655"/>
        <c:crosses val="autoZero"/>
        <c:auto val="1"/>
        <c:lblAlgn val="ctr"/>
        <c:lblOffset val="100"/>
        <c:noMultiLvlLbl val="0"/>
      </c:catAx>
      <c:valAx>
        <c:axId val="162432655"/>
        <c:scaling>
          <c:orientation val="minMax"/>
          <c:max val="8000"/>
          <c:min val="0"/>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sz="1000" b="1">
                    <a:solidFill>
                      <a:schemeClr val="tx1"/>
                    </a:solidFill>
                  </a:rPr>
                  <a:t>Average</a:t>
                </a:r>
                <a:r>
                  <a:rPr lang="en-US" sz="1000" b="1" baseline="0">
                    <a:solidFill>
                      <a:schemeClr val="tx1"/>
                    </a:solidFill>
                  </a:rPr>
                  <a:t> Room Rate</a:t>
                </a:r>
                <a:endParaRPr lang="en-US" sz="1000" b="1">
                  <a:solidFill>
                    <a:schemeClr val="tx1"/>
                  </a:solidFill>
                </a:endParaRP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52786719"/>
        <c:crosses val="autoZero"/>
        <c:crossBetween val="between"/>
        <c:majorUnit val="2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2.xml"/><Relationship Id="rId5" Type="http://schemas.openxmlformats.org/officeDocument/2006/relationships/image" Target="../media/image5.png"/><Relationship Id="rId15" Type="http://schemas.openxmlformats.org/officeDocument/2006/relationships/chart" Target="../charts/chart16.xml"/><Relationship Id="rId10" Type="http://schemas.openxmlformats.org/officeDocument/2006/relationships/chart" Target="../charts/chart11.xml"/><Relationship Id="rId4" Type="http://schemas.openxmlformats.org/officeDocument/2006/relationships/image" Target="../media/image4.png"/><Relationship Id="rId9" Type="http://schemas.openxmlformats.org/officeDocument/2006/relationships/chart" Target="../charts/chart10.xml"/><Relationship Id="rId1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0</xdr:colOff>
      <xdr:row>23</xdr:row>
      <xdr:rowOff>140970</xdr:rowOff>
    </xdr:from>
    <xdr:to>
      <xdr:col>4</xdr:col>
      <xdr:colOff>441960</xdr:colOff>
      <xdr:row>38</xdr:row>
      <xdr:rowOff>133770</xdr:rowOff>
    </xdr:to>
    <xdr:graphicFrame macro="">
      <xdr:nvGraphicFramePr>
        <xdr:cNvPr id="2" name="Chart 1">
          <a:extLst>
            <a:ext uri="{FF2B5EF4-FFF2-40B4-BE49-F238E27FC236}">
              <a16:creationId xmlns:a16="http://schemas.microsoft.com/office/drawing/2014/main" id="{82E8C71A-8885-9367-433D-F3DCD8C9D8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533400</xdr:colOff>
      <xdr:row>24</xdr:row>
      <xdr:rowOff>11430</xdr:rowOff>
    </xdr:from>
    <xdr:to>
      <xdr:col>8</xdr:col>
      <xdr:colOff>198120</xdr:colOff>
      <xdr:row>39</xdr:row>
      <xdr:rowOff>11430</xdr:rowOff>
    </xdr:to>
    <xdr:graphicFrame macro="">
      <xdr:nvGraphicFramePr>
        <xdr:cNvPr id="3" name="Chart 2">
          <a:extLst>
            <a:ext uri="{FF2B5EF4-FFF2-40B4-BE49-F238E27FC236}">
              <a16:creationId xmlns:a16="http://schemas.microsoft.com/office/drawing/2014/main" id="{DF2BFFB3-E592-862F-90E6-84F0E28F90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350520</xdr:colOff>
      <xdr:row>24</xdr:row>
      <xdr:rowOff>118110</xdr:rowOff>
    </xdr:from>
    <xdr:to>
      <xdr:col>15</xdr:col>
      <xdr:colOff>7620</xdr:colOff>
      <xdr:row>39</xdr:row>
      <xdr:rowOff>118110</xdr:rowOff>
    </xdr:to>
    <xdr:graphicFrame macro="">
      <xdr:nvGraphicFramePr>
        <xdr:cNvPr id="5" name="Chart 4">
          <a:extLst>
            <a:ext uri="{FF2B5EF4-FFF2-40B4-BE49-F238E27FC236}">
              <a16:creationId xmlns:a16="http://schemas.microsoft.com/office/drawing/2014/main" id="{6A84C8EC-6C62-6A0F-207B-686212C18E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175260</xdr:colOff>
      <xdr:row>39</xdr:row>
      <xdr:rowOff>133350</xdr:rowOff>
    </xdr:from>
    <xdr:to>
      <xdr:col>4</xdr:col>
      <xdr:colOff>693420</xdr:colOff>
      <xdr:row>54</xdr:row>
      <xdr:rowOff>133350</xdr:rowOff>
    </xdr:to>
    <xdr:graphicFrame macro="">
      <xdr:nvGraphicFramePr>
        <xdr:cNvPr id="6" name="Chart 5">
          <a:extLst>
            <a:ext uri="{FF2B5EF4-FFF2-40B4-BE49-F238E27FC236}">
              <a16:creationId xmlns:a16="http://schemas.microsoft.com/office/drawing/2014/main" id="{2AD1BB9B-F293-0B8D-18A8-9CDDB40F73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838200</xdr:colOff>
      <xdr:row>39</xdr:row>
      <xdr:rowOff>179070</xdr:rowOff>
    </xdr:from>
    <xdr:to>
      <xdr:col>10</xdr:col>
      <xdr:colOff>53340</xdr:colOff>
      <xdr:row>54</xdr:row>
      <xdr:rowOff>179070</xdr:rowOff>
    </xdr:to>
    <xdr:graphicFrame macro="">
      <xdr:nvGraphicFramePr>
        <xdr:cNvPr id="7" name="Chart 6">
          <a:extLst>
            <a:ext uri="{FF2B5EF4-FFF2-40B4-BE49-F238E27FC236}">
              <a16:creationId xmlns:a16="http://schemas.microsoft.com/office/drawing/2014/main" id="{1F562DE3-9917-796D-DBEB-5B66507DA6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243840</xdr:colOff>
      <xdr:row>40</xdr:row>
      <xdr:rowOff>34290</xdr:rowOff>
    </xdr:from>
    <xdr:to>
      <xdr:col>22</xdr:col>
      <xdr:colOff>0</xdr:colOff>
      <xdr:row>55</xdr:row>
      <xdr:rowOff>34290</xdr:rowOff>
    </xdr:to>
    <xdr:graphicFrame macro="">
      <xdr:nvGraphicFramePr>
        <xdr:cNvPr id="8" name="Chart 7">
          <a:extLst>
            <a:ext uri="{FF2B5EF4-FFF2-40B4-BE49-F238E27FC236}">
              <a16:creationId xmlns:a16="http://schemas.microsoft.com/office/drawing/2014/main" id="{9509F3A1-9D36-5245-220C-7F216B82A6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144786</xdr:colOff>
      <xdr:row>24</xdr:row>
      <xdr:rowOff>144780</xdr:rowOff>
    </xdr:from>
    <xdr:to>
      <xdr:col>22</xdr:col>
      <xdr:colOff>449586</xdr:colOff>
      <xdr:row>39</xdr:row>
      <xdr:rowOff>144780</xdr:rowOff>
    </xdr:to>
    <xdr:graphicFrame macro="">
      <xdr:nvGraphicFramePr>
        <xdr:cNvPr id="10" name="Chart 9">
          <a:extLst>
            <a:ext uri="{FF2B5EF4-FFF2-40B4-BE49-F238E27FC236}">
              <a16:creationId xmlns:a16="http://schemas.microsoft.com/office/drawing/2014/main" id="{7B4CA1C1-FE58-1741-631C-E12D270D73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556266</xdr:colOff>
      <xdr:row>9</xdr:row>
      <xdr:rowOff>15240</xdr:rowOff>
    </xdr:from>
    <xdr:to>
      <xdr:col>22</xdr:col>
      <xdr:colOff>251466</xdr:colOff>
      <xdr:row>24</xdr:row>
      <xdr:rowOff>15240</xdr:rowOff>
    </xdr:to>
    <xdr:graphicFrame macro="">
      <xdr:nvGraphicFramePr>
        <xdr:cNvPr id="12" name="Chart 11">
          <a:extLst>
            <a:ext uri="{FF2B5EF4-FFF2-40B4-BE49-F238E27FC236}">
              <a16:creationId xmlns:a16="http://schemas.microsoft.com/office/drawing/2014/main" id="{E67DADBB-8655-B313-B6AA-08B85BB1B7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99060</xdr:colOff>
      <xdr:row>16</xdr:row>
      <xdr:rowOff>114301</xdr:rowOff>
    </xdr:from>
    <xdr:to>
      <xdr:col>1</xdr:col>
      <xdr:colOff>777240</xdr:colOff>
      <xdr:row>21</xdr:row>
      <xdr:rowOff>137161</xdr:rowOff>
    </xdr:to>
    <mc:AlternateContent xmlns:mc="http://schemas.openxmlformats.org/markup-compatibility/2006" xmlns:a14="http://schemas.microsoft.com/office/drawing/2010/main">
      <mc:Choice Requires="a14">
        <xdr:graphicFrame macro="">
          <xdr:nvGraphicFramePr>
            <xdr:cNvPr id="4" name="Hotel_Type">
              <a:extLst>
                <a:ext uri="{FF2B5EF4-FFF2-40B4-BE49-F238E27FC236}">
                  <a16:creationId xmlns:a16="http://schemas.microsoft.com/office/drawing/2014/main" id="{68B38064-89A3-0F07-C229-1601A7C9C3DD}"/>
                </a:ext>
              </a:extLst>
            </xdr:cNvPr>
            <xdr:cNvGraphicFramePr/>
          </xdr:nvGraphicFramePr>
          <xdr:xfrm>
            <a:off x="0" y="0"/>
            <a:ext cx="0" cy="0"/>
          </xdr:xfrm>
          <a:graphic>
            <a:graphicData uri="http://schemas.microsoft.com/office/drawing/2010/slicer">
              <sle:slicer xmlns:sle="http://schemas.microsoft.com/office/drawing/2010/slicer" name="Hotel_Type"/>
            </a:graphicData>
          </a:graphic>
        </xdr:graphicFrame>
      </mc:Choice>
      <mc:Fallback xmlns="">
        <xdr:sp macro="" textlink="">
          <xdr:nvSpPr>
            <xdr:cNvPr id="0" name=""/>
            <xdr:cNvSpPr>
              <a:spLocks noTextEdit="1"/>
            </xdr:cNvSpPr>
          </xdr:nvSpPr>
          <xdr:spPr>
            <a:xfrm>
              <a:off x="99060" y="3040381"/>
              <a:ext cx="1539240" cy="937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518160</xdr:colOff>
      <xdr:row>1</xdr:row>
      <xdr:rowOff>160021</xdr:rowOff>
    </xdr:from>
    <xdr:to>
      <xdr:col>13</xdr:col>
      <xdr:colOff>876300</xdr:colOff>
      <xdr:row>7</xdr:row>
      <xdr:rowOff>7621</xdr:rowOff>
    </xdr:to>
    <mc:AlternateContent xmlns:mc="http://schemas.openxmlformats.org/markup-compatibility/2006" xmlns:a14="http://schemas.microsoft.com/office/drawing/2010/main">
      <mc:Choice Requires="a14">
        <xdr:graphicFrame macro="">
          <xdr:nvGraphicFramePr>
            <xdr:cNvPr id="9" name="Room_Type">
              <a:extLst>
                <a:ext uri="{FF2B5EF4-FFF2-40B4-BE49-F238E27FC236}">
                  <a16:creationId xmlns:a16="http://schemas.microsoft.com/office/drawing/2014/main" id="{F85143DB-872F-DEB6-A4C9-35EEA010E7E6}"/>
                </a:ext>
              </a:extLst>
            </xdr:cNvPr>
            <xdr:cNvGraphicFramePr/>
          </xdr:nvGraphicFramePr>
          <xdr:xfrm>
            <a:off x="0" y="0"/>
            <a:ext cx="0" cy="0"/>
          </xdr:xfrm>
          <a:graphic>
            <a:graphicData uri="http://schemas.microsoft.com/office/drawing/2010/slicer">
              <sle:slicer xmlns:sle="http://schemas.microsoft.com/office/drawing/2010/slicer" name="Room_Type"/>
            </a:graphicData>
          </a:graphic>
        </xdr:graphicFrame>
      </mc:Choice>
      <mc:Fallback xmlns="">
        <xdr:sp macro="" textlink="">
          <xdr:nvSpPr>
            <xdr:cNvPr id="0" name=""/>
            <xdr:cNvSpPr>
              <a:spLocks noTextEdit="1"/>
            </xdr:cNvSpPr>
          </xdr:nvSpPr>
          <xdr:spPr>
            <a:xfrm>
              <a:off x="10751820" y="342901"/>
              <a:ext cx="1828800" cy="944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1104900</xdr:colOff>
      <xdr:row>0</xdr:row>
      <xdr:rowOff>83820</xdr:rowOff>
    </xdr:from>
    <xdr:to>
      <xdr:col>16</xdr:col>
      <xdr:colOff>304800</xdr:colOff>
      <xdr:row>8</xdr:row>
      <xdr:rowOff>121919</xdr:rowOff>
    </xdr:to>
    <mc:AlternateContent xmlns:mc="http://schemas.openxmlformats.org/markup-compatibility/2006" xmlns:a14="http://schemas.microsoft.com/office/drawing/2010/main">
      <mc:Choice Requires="a14">
        <xdr:graphicFrame macro="">
          <xdr:nvGraphicFramePr>
            <xdr:cNvPr id="11" name="Booking_Status">
              <a:extLst>
                <a:ext uri="{FF2B5EF4-FFF2-40B4-BE49-F238E27FC236}">
                  <a16:creationId xmlns:a16="http://schemas.microsoft.com/office/drawing/2014/main" id="{99853C39-A2C1-5AC0-F323-6C511A7CC7DF}"/>
                </a:ext>
              </a:extLst>
            </xdr:cNvPr>
            <xdr:cNvGraphicFramePr/>
          </xdr:nvGraphicFramePr>
          <xdr:xfrm>
            <a:off x="0" y="0"/>
            <a:ext cx="0" cy="0"/>
          </xdr:xfrm>
          <a:graphic>
            <a:graphicData uri="http://schemas.microsoft.com/office/drawing/2010/slicer">
              <sle:slicer xmlns:sle="http://schemas.microsoft.com/office/drawing/2010/slicer" name="Booking_Status"/>
            </a:graphicData>
          </a:graphic>
        </xdr:graphicFrame>
      </mc:Choice>
      <mc:Fallback xmlns="">
        <xdr:sp macro="" textlink="">
          <xdr:nvSpPr>
            <xdr:cNvPr id="0" name=""/>
            <xdr:cNvSpPr>
              <a:spLocks noTextEdit="1"/>
            </xdr:cNvSpPr>
          </xdr:nvSpPr>
          <xdr:spPr>
            <a:xfrm>
              <a:off x="12809220" y="83820"/>
              <a:ext cx="1828800" cy="15011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472440</xdr:colOff>
      <xdr:row>1</xdr:row>
      <xdr:rowOff>152401</xdr:rowOff>
    </xdr:from>
    <xdr:to>
      <xdr:col>19</xdr:col>
      <xdr:colOff>472440</xdr:colOff>
      <xdr:row>6</xdr:row>
      <xdr:rowOff>144781</xdr:rowOff>
    </xdr:to>
    <mc:AlternateContent xmlns:mc="http://schemas.openxmlformats.org/markup-compatibility/2006" xmlns:a14="http://schemas.microsoft.com/office/drawing/2010/main">
      <mc:Choice Requires="a14">
        <xdr:graphicFrame macro="">
          <xdr:nvGraphicFramePr>
            <xdr:cNvPr id="13" name="Rating">
              <a:extLst>
                <a:ext uri="{FF2B5EF4-FFF2-40B4-BE49-F238E27FC236}">
                  <a16:creationId xmlns:a16="http://schemas.microsoft.com/office/drawing/2014/main" id="{9E04C27E-43E2-F766-FC81-A375587BF71E}"/>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14805660" y="335281"/>
              <a:ext cx="1828800" cy="906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220980</xdr:colOff>
      <xdr:row>0</xdr:row>
      <xdr:rowOff>220980</xdr:rowOff>
    </xdr:from>
    <xdr:to>
      <xdr:col>1</xdr:col>
      <xdr:colOff>358140</xdr:colOff>
      <xdr:row>2</xdr:row>
      <xdr:rowOff>114300</xdr:rowOff>
    </xdr:to>
    <xdr:pic>
      <xdr:nvPicPr>
        <xdr:cNvPr id="3" name="Picture 2">
          <a:extLst>
            <a:ext uri="{FF2B5EF4-FFF2-40B4-BE49-F238E27FC236}">
              <a16:creationId xmlns:a16="http://schemas.microsoft.com/office/drawing/2014/main" id="{70D768C2-8F10-082F-C5DE-8328188E85B4}"/>
            </a:ext>
          </a:extLst>
        </xdr:cNvPr>
        <xdr:cNvPicPr>
          <a:picLocks noChangeAspect="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Lst>
        </a:blip>
        <a:stretch>
          <a:fillRect/>
        </a:stretch>
      </xdr:blipFill>
      <xdr:spPr>
        <a:xfrm>
          <a:off x="220980" y="220980"/>
          <a:ext cx="746760" cy="746760"/>
        </a:xfrm>
        <a:prstGeom prst="rect">
          <a:avLst/>
        </a:prstGeom>
      </xdr:spPr>
    </xdr:pic>
    <xdr:clientData/>
  </xdr:twoCellAnchor>
  <xdr:twoCellAnchor editAs="absolute">
    <xdr:from>
      <xdr:col>0</xdr:col>
      <xdr:colOff>583895</xdr:colOff>
      <xdr:row>5</xdr:row>
      <xdr:rowOff>15240</xdr:rowOff>
    </xdr:from>
    <xdr:to>
      <xdr:col>3</xdr:col>
      <xdr:colOff>545795</xdr:colOff>
      <xdr:row>10</xdr:row>
      <xdr:rowOff>76200</xdr:rowOff>
    </xdr:to>
    <xdr:grpSp>
      <xdr:nvGrpSpPr>
        <xdr:cNvPr id="52" name="Group 51">
          <a:extLst>
            <a:ext uri="{FF2B5EF4-FFF2-40B4-BE49-F238E27FC236}">
              <a16:creationId xmlns:a16="http://schemas.microsoft.com/office/drawing/2014/main" id="{95E27E24-2141-3E24-B186-F6A3ED068C5E}"/>
            </a:ext>
          </a:extLst>
        </xdr:cNvPr>
        <xdr:cNvGrpSpPr/>
      </xdr:nvGrpSpPr>
      <xdr:grpSpPr>
        <a:xfrm>
          <a:off x="583895" y="1426351"/>
          <a:ext cx="1782233" cy="978182"/>
          <a:chOff x="152400" y="1417320"/>
          <a:chExt cx="1790700" cy="975360"/>
        </a:xfrm>
      </xdr:grpSpPr>
      <xdr:grpSp>
        <xdr:nvGrpSpPr>
          <xdr:cNvPr id="83" name="Group 82">
            <a:extLst>
              <a:ext uri="{FF2B5EF4-FFF2-40B4-BE49-F238E27FC236}">
                <a16:creationId xmlns:a16="http://schemas.microsoft.com/office/drawing/2014/main" id="{4A1BC714-AD33-4F73-FBEF-244121BC2F1A}"/>
              </a:ext>
            </a:extLst>
          </xdr:cNvPr>
          <xdr:cNvGrpSpPr/>
        </xdr:nvGrpSpPr>
        <xdr:grpSpPr>
          <a:xfrm>
            <a:off x="152400" y="1417320"/>
            <a:ext cx="1790700" cy="975360"/>
            <a:chOff x="152400" y="1425751"/>
            <a:chExt cx="1785836" cy="993194"/>
          </a:xfrm>
        </xdr:grpSpPr>
        <xdr:grpSp>
          <xdr:nvGrpSpPr>
            <xdr:cNvPr id="57" name="Group 56">
              <a:extLst>
                <a:ext uri="{FF2B5EF4-FFF2-40B4-BE49-F238E27FC236}">
                  <a16:creationId xmlns:a16="http://schemas.microsoft.com/office/drawing/2014/main" id="{B249B465-24C8-1D05-9D3C-1C18ACF17902}"/>
                </a:ext>
              </a:extLst>
            </xdr:cNvPr>
            <xdr:cNvGrpSpPr/>
          </xdr:nvGrpSpPr>
          <xdr:grpSpPr>
            <a:xfrm>
              <a:off x="152400" y="1425751"/>
              <a:ext cx="1785836" cy="993194"/>
              <a:chOff x="259080" y="1432560"/>
              <a:chExt cx="1790700" cy="975360"/>
            </a:xfrm>
          </xdr:grpSpPr>
          <xdr:grpSp>
            <xdr:nvGrpSpPr>
              <xdr:cNvPr id="38" name="Group 37">
                <a:extLst>
                  <a:ext uri="{FF2B5EF4-FFF2-40B4-BE49-F238E27FC236}">
                    <a16:creationId xmlns:a16="http://schemas.microsoft.com/office/drawing/2014/main" id="{7BFF348B-183B-AFFE-E40D-5546B7E80BCA}"/>
                  </a:ext>
                </a:extLst>
              </xdr:cNvPr>
              <xdr:cNvGrpSpPr/>
            </xdr:nvGrpSpPr>
            <xdr:grpSpPr>
              <a:xfrm>
                <a:off x="259080" y="1432560"/>
                <a:ext cx="1790700" cy="975360"/>
                <a:chOff x="259080" y="1432560"/>
                <a:chExt cx="1790700" cy="975360"/>
              </a:xfrm>
            </xdr:grpSpPr>
            <xdr:sp macro="" textlink="">
              <xdr:nvSpPr>
                <xdr:cNvPr id="6" name="Rectangle: Rounded Corners 5">
                  <a:extLst>
                    <a:ext uri="{FF2B5EF4-FFF2-40B4-BE49-F238E27FC236}">
                      <a16:creationId xmlns:a16="http://schemas.microsoft.com/office/drawing/2014/main" id="{B421E144-545C-FC7E-A5BE-D7EABE91C38E}"/>
                    </a:ext>
                  </a:extLst>
                </xdr:cNvPr>
                <xdr:cNvSpPr/>
              </xdr:nvSpPr>
              <xdr:spPr>
                <a:xfrm>
                  <a:off x="449580" y="1432560"/>
                  <a:ext cx="1501200" cy="626400"/>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extLst>
                    <a:ext uri="{FF2B5EF4-FFF2-40B4-BE49-F238E27FC236}">
                      <a16:creationId xmlns:a16="http://schemas.microsoft.com/office/drawing/2014/main" id="{40FE7E6B-C432-A9B9-39FC-B72539AE928C}"/>
                    </a:ext>
                  </a:extLst>
                </xdr:cNvPr>
                <xdr:cNvSpPr/>
              </xdr:nvSpPr>
              <xdr:spPr>
                <a:xfrm>
                  <a:off x="259080" y="1682791"/>
                  <a:ext cx="1790700" cy="725129"/>
                </a:xfrm>
                <a:prstGeom prst="roundRect">
                  <a:avLst/>
                </a:prstGeom>
                <a:solidFill>
                  <a:schemeClr val="bg1"/>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Isosceles Triangle 7">
                  <a:extLst>
                    <a:ext uri="{FF2B5EF4-FFF2-40B4-BE49-F238E27FC236}">
                      <a16:creationId xmlns:a16="http://schemas.microsoft.com/office/drawing/2014/main" id="{B7B00AD6-1C05-AAF0-9466-FA7D31F74337}"/>
                    </a:ext>
                  </a:extLst>
                </xdr:cNvPr>
                <xdr:cNvSpPr/>
              </xdr:nvSpPr>
              <xdr:spPr>
                <a:xfrm rot="10800000">
                  <a:off x="1041682" y="1676646"/>
                  <a:ext cx="212231" cy="135194"/>
                </a:xfrm>
                <a:prstGeom prst="triangle">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10" name="Straight Connector 9">
                  <a:extLst>
                    <a:ext uri="{FF2B5EF4-FFF2-40B4-BE49-F238E27FC236}">
                      <a16:creationId xmlns:a16="http://schemas.microsoft.com/office/drawing/2014/main" id="{D9C8322C-FC83-99DB-E42C-DED0C922BF63}"/>
                    </a:ext>
                  </a:extLst>
                </xdr:cNvPr>
                <xdr:cNvCxnSpPr/>
              </xdr:nvCxnSpPr>
              <xdr:spPr>
                <a:xfrm>
                  <a:off x="783026" y="1799549"/>
                  <a:ext cx="0" cy="516194"/>
                </a:xfrm>
                <a:prstGeom prst="line">
                  <a:avLst/>
                </a:prstGeom>
                <a:ln w="12700"/>
              </xdr:spPr>
              <xdr:style>
                <a:lnRef idx="1">
                  <a:schemeClr val="accent3"/>
                </a:lnRef>
                <a:fillRef idx="0">
                  <a:schemeClr val="accent3"/>
                </a:fillRef>
                <a:effectRef idx="0">
                  <a:schemeClr val="accent3"/>
                </a:effectRef>
                <a:fontRef idx="minor">
                  <a:schemeClr val="tx1"/>
                </a:fontRef>
              </xdr:style>
            </xdr:cxnSp>
          </xdr:grpSp>
          <xdr:sp macro="" textlink="">
            <xdr:nvSpPr>
              <xdr:cNvPr id="46" name="TextBox 45">
                <a:extLst>
                  <a:ext uri="{FF2B5EF4-FFF2-40B4-BE49-F238E27FC236}">
                    <a16:creationId xmlns:a16="http://schemas.microsoft.com/office/drawing/2014/main" id="{CAF62885-D2B6-D33B-F9D4-3A5A1B3471DE}"/>
                  </a:ext>
                </a:extLst>
              </xdr:cNvPr>
              <xdr:cNvSpPr txBox="1"/>
            </xdr:nvSpPr>
            <xdr:spPr>
              <a:xfrm>
                <a:off x="563880" y="1447800"/>
                <a:ext cx="1310640" cy="198120"/>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rPr>
                  <a:t>Total Booking</a:t>
                </a:r>
              </a:p>
            </xdr:txBody>
          </xdr:sp>
        </xdr:grpSp>
        <xdr:pic>
          <xdr:nvPicPr>
            <xdr:cNvPr id="72" name="Picture 71">
              <a:extLst>
                <a:ext uri="{FF2B5EF4-FFF2-40B4-BE49-F238E27FC236}">
                  <a16:creationId xmlns:a16="http://schemas.microsoft.com/office/drawing/2014/main" id="{2FF57F72-D536-060C-99E8-C8000CE2076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89272" y="1820276"/>
              <a:ext cx="456226" cy="464984"/>
            </a:xfrm>
            <a:prstGeom prst="rect">
              <a:avLst/>
            </a:prstGeom>
          </xdr:spPr>
        </xdr:pic>
      </xdr:grpSp>
      <xdr:sp macro="" textlink="Analysis!B4">
        <xdr:nvSpPr>
          <xdr:cNvPr id="2" name="TextBox 1">
            <a:extLst>
              <a:ext uri="{FF2B5EF4-FFF2-40B4-BE49-F238E27FC236}">
                <a16:creationId xmlns:a16="http://schemas.microsoft.com/office/drawing/2014/main" id="{98400384-35F2-57F4-6448-376155590522}"/>
              </a:ext>
            </a:extLst>
          </xdr:cNvPr>
          <xdr:cNvSpPr txBox="1"/>
        </xdr:nvSpPr>
        <xdr:spPr>
          <a:xfrm>
            <a:off x="768998" y="1849482"/>
            <a:ext cx="1017814" cy="3735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D0EA0E7-D1C4-47C2-A6F0-26F3B58BA49F}" type="TxLink">
              <a:rPr lang="en-US" sz="2000" b="1" i="0" u="none" strike="noStrike">
                <a:solidFill>
                  <a:srgbClr val="00B050"/>
                </a:solidFill>
                <a:latin typeface="Calibri"/>
                <a:ea typeface="Calibri"/>
                <a:cs typeface="Calibri"/>
              </a:rPr>
              <a:pPr algn="ctr"/>
              <a:t>200</a:t>
            </a:fld>
            <a:endParaRPr lang="en-US" sz="2000" b="1">
              <a:solidFill>
                <a:srgbClr val="00B050"/>
              </a:solidFill>
            </a:endParaRPr>
          </a:p>
        </xdr:txBody>
      </xdr:sp>
    </xdr:grpSp>
    <xdr:clientData/>
  </xdr:twoCellAnchor>
  <xdr:twoCellAnchor editAs="absolute">
    <xdr:from>
      <xdr:col>4</xdr:col>
      <xdr:colOff>235485</xdr:colOff>
      <xdr:row>5</xdr:row>
      <xdr:rowOff>16800</xdr:rowOff>
    </xdr:from>
    <xdr:to>
      <xdr:col>7</xdr:col>
      <xdr:colOff>197385</xdr:colOff>
      <xdr:row>10</xdr:row>
      <xdr:rowOff>100620</xdr:rowOff>
    </xdr:to>
    <xdr:grpSp>
      <xdr:nvGrpSpPr>
        <xdr:cNvPr id="53" name="Group 52">
          <a:extLst>
            <a:ext uri="{FF2B5EF4-FFF2-40B4-BE49-F238E27FC236}">
              <a16:creationId xmlns:a16="http://schemas.microsoft.com/office/drawing/2014/main" id="{BCB2CE80-7957-8EE2-7047-88A6C723B3D8}"/>
            </a:ext>
          </a:extLst>
        </xdr:cNvPr>
        <xdr:cNvGrpSpPr/>
      </xdr:nvGrpSpPr>
      <xdr:grpSpPr>
        <a:xfrm>
          <a:off x="2662596" y="1427911"/>
          <a:ext cx="1782233" cy="1001042"/>
          <a:chOff x="2247900" y="1409700"/>
          <a:chExt cx="1790700" cy="998220"/>
        </a:xfrm>
      </xdr:grpSpPr>
      <xdr:grpSp>
        <xdr:nvGrpSpPr>
          <xdr:cNvPr id="84" name="Group 83">
            <a:extLst>
              <a:ext uri="{FF2B5EF4-FFF2-40B4-BE49-F238E27FC236}">
                <a16:creationId xmlns:a16="http://schemas.microsoft.com/office/drawing/2014/main" id="{6647E8FC-E7B7-3873-0662-81460C6F8EB7}"/>
              </a:ext>
            </a:extLst>
          </xdr:cNvPr>
          <xdr:cNvGrpSpPr/>
        </xdr:nvGrpSpPr>
        <xdr:grpSpPr>
          <a:xfrm>
            <a:off x="2247900" y="1409700"/>
            <a:ext cx="1790700" cy="998220"/>
            <a:chOff x="2243036" y="1418131"/>
            <a:chExt cx="1785836" cy="1016054"/>
          </a:xfrm>
        </xdr:grpSpPr>
        <xdr:grpSp>
          <xdr:nvGrpSpPr>
            <xdr:cNvPr id="66" name="Group 65">
              <a:extLst>
                <a:ext uri="{FF2B5EF4-FFF2-40B4-BE49-F238E27FC236}">
                  <a16:creationId xmlns:a16="http://schemas.microsoft.com/office/drawing/2014/main" id="{8E531FE9-3DF7-879C-71C6-C8C8CEFD1FAB}"/>
                </a:ext>
              </a:extLst>
            </xdr:cNvPr>
            <xdr:cNvGrpSpPr/>
          </xdr:nvGrpSpPr>
          <xdr:grpSpPr>
            <a:xfrm>
              <a:off x="2243036" y="1418131"/>
              <a:ext cx="1785836" cy="1016054"/>
              <a:chOff x="2247900" y="1409700"/>
              <a:chExt cx="1790700" cy="998220"/>
            </a:xfrm>
          </xdr:grpSpPr>
          <xdr:grpSp>
            <xdr:nvGrpSpPr>
              <xdr:cNvPr id="39" name="Group 38">
                <a:extLst>
                  <a:ext uri="{FF2B5EF4-FFF2-40B4-BE49-F238E27FC236}">
                    <a16:creationId xmlns:a16="http://schemas.microsoft.com/office/drawing/2014/main" id="{D71627AB-A7F7-02AF-5032-003561E442F4}"/>
                  </a:ext>
                </a:extLst>
              </xdr:cNvPr>
              <xdr:cNvGrpSpPr/>
            </xdr:nvGrpSpPr>
            <xdr:grpSpPr>
              <a:xfrm>
                <a:off x="2247900" y="1409700"/>
                <a:ext cx="1790700" cy="998220"/>
                <a:chOff x="2247900" y="1409700"/>
                <a:chExt cx="1790700" cy="998220"/>
              </a:xfrm>
            </xdr:grpSpPr>
            <xdr:sp macro="" textlink="">
              <xdr:nvSpPr>
                <xdr:cNvPr id="13" name="Rectangle: Rounded Corners 12">
                  <a:extLst>
                    <a:ext uri="{FF2B5EF4-FFF2-40B4-BE49-F238E27FC236}">
                      <a16:creationId xmlns:a16="http://schemas.microsoft.com/office/drawing/2014/main" id="{0DFE8C3A-EDEE-7175-8A2F-8BDB014F8377}"/>
                    </a:ext>
                  </a:extLst>
                </xdr:cNvPr>
                <xdr:cNvSpPr/>
              </xdr:nvSpPr>
              <xdr:spPr>
                <a:xfrm>
                  <a:off x="2400300" y="1409700"/>
                  <a:ext cx="1501140" cy="624840"/>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Rounded Corners 13">
                  <a:extLst>
                    <a:ext uri="{FF2B5EF4-FFF2-40B4-BE49-F238E27FC236}">
                      <a16:creationId xmlns:a16="http://schemas.microsoft.com/office/drawing/2014/main" id="{20A7BB3B-937C-7020-5C59-58043080171D}"/>
                    </a:ext>
                  </a:extLst>
                </xdr:cNvPr>
                <xdr:cNvSpPr/>
              </xdr:nvSpPr>
              <xdr:spPr>
                <a:xfrm>
                  <a:off x="2247900" y="1682791"/>
                  <a:ext cx="1790700" cy="725129"/>
                </a:xfrm>
                <a:prstGeom prst="roundRect">
                  <a:avLst/>
                </a:prstGeom>
                <a:solidFill>
                  <a:schemeClr val="bg1"/>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Isosceles Triangle 14">
                  <a:extLst>
                    <a:ext uri="{FF2B5EF4-FFF2-40B4-BE49-F238E27FC236}">
                      <a16:creationId xmlns:a16="http://schemas.microsoft.com/office/drawing/2014/main" id="{22E1A3EE-5409-258F-694F-A8BF05DCEB46}"/>
                    </a:ext>
                  </a:extLst>
                </xdr:cNvPr>
                <xdr:cNvSpPr/>
              </xdr:nvSpPr>
              <xdr:spPr>
                <a:xfrm rot="10800000">
                  <a:off x="3030502" y="1676646"/>
                  <a:ext cx="212231" cy="135194"/>
                </a:xfrm>
                <a:prstGeom prst="triangle">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xnSp macro="">
            <xdr:nvCxnSpPr>
              <xdr:cNvPr id="16" name="Straight Connector 15">
                <a:extLst>
                  <a:ext uri="{FF2B5EF4-FFF2-40B4-BE49-F238E27FC236}">
                    <a16:creationId xmlns:a16="http://schemas.microsoft.com/office/drawing/2014/main" id="{14F86C10-0A90-ECA6-B51F-B90EE2476A9A}"/>
                  </a:ext>
                </a:extLst>
              </xdr:cNvPr>
              <xdr:cNvCxnSpPr/>
            </xdr:nvCxnSpPr>
            <xdr:spPr>
              <a:xfrm>
                <a:off x="2771846" y="1799549"/>
                <a:ext cx="0" cy="516194"/>
              </a:xfrm>
              <a:prstGeom prst="line">
                <a:avLst/>
              </a:prstGeom>
              <a:ln w="12700">
                <a:solidFill>
                  <a:schemeClr val="accent4"/>
                </a:solidFill>
              </a:ln>
            </xdr:spPr>
            <xdr:style>
              <a:lnRef idx="1">
                <a:schemeClr val="accent3"/>
              </a:lnRef>
              <a:fillRef idx="0">
                <a:schemeClr val="accent3"/>
              </a:fillRef>
              <a:effectRef idx="0">
                <a:schemeClr val="accent3"/>
              </a:effectRef>
              <a:fontRef idx="minor">
                <a:schemeClr val="tx1"/>
              </a:fontRef>
            </xdr:style>
          </xdr:cxnSp>
          <xdr:sp macro="" textlink="">
            <xdr:nvSpPr>
              <xdr:cNvPr id="47" name="TextBox 46">
                <a:extLst>
                  <a:ext uri="{FF2B5EF4-FFF2-40B4-BE49-F238E27FC236}">
                    <a16:creationId xmlns:a16="http://schemas.microsoft.com/office/drawing/2014/main" id="{3ECC4C1E-7A41-187E-43FF-66BB4C4B0B1F}"/>
                  </a:ext>
                </a:extLst>
              </xdr:cNvPr>
              <xdr:cNvSpPr txBox="1"/>
            </xdr:nvSpPr>
            <xdr:spPr>
              <a:xfrm>
                <a:off x="2453640" y="1432560"/>
                <a:ext cx="1386840" cy="220980"/>
              </a:xfrm>
              <a:prstGeom prst="rect">
                <a:avLst/>
              </a:prstGeom>
              <a:solidFill>
                <a:schemeClr val="accent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rPr>
                  <a:t>Total Revenue</a:t>
                </a:r>
              </a:p>
            </xdr:txBody>
          </xdr:sp>
        </xdr:grpSp>
        <xdr:pic>
          <xdr:nvPicPr>
            <xdr:cNvPr id="74" name="Picture 73">
              <a:extLst>
                <a:ext uri="{FF2B5EF4-FFF2-40B4-BE49-F238E27FC236}">
                  <a16:creationId xmlns:a16="http://schemas.microsoft.com/office/drawing/2014/main" id="{C34379F0-22F7-3CE7-88ED-77C736C4DC7A}"/>
                </a:ext>
              </a:extLst>
            </xdr:cNvPr>
            <xdr:cNvPicPr>
              <a:picLocks noChangeAspect="1"/>
            </xdr:cNvPicPr>
          </xdr:nvPicPr>
          <xdr:blipFill>
            <a:blip xmlns:r="http://schemas.openxmlformats.org/officeDocument/2006/relationships" r:embed="rId3" cstate="print">
              <a:duotone>
                <a:schemeClr val="accent4">
                  <a:shade val="45000"/>
                  <a:satMod val="135000"/>
                </a:schemeClr>
                <a:prstClr val="white"/>
              </a:duotone>
              <a:extLst>
                <a:ext uri="{28A0092B-C50C-407E-A947-70E740481C1C}">
                  <a14:useLocalDpi xmlns:a14="http://schemas.microsoft.com/office/drawing/2010/main" val="0"/>
                </a:ext>
              </a:extLst>
            </a:blip>
            <a:stretch>
              <a:fillRect/>
            </a:stretch>
          </xdr:blipFill>
          <xdr:spPr>
            <a:xfrm>
              <a:off x="2278679" y="1836663"/>
              <a:ext cx="458360" cy="464984"/>
            </a:xfrm>
            <a:prstGeom prst="rect">
              <a:avLst/>
            </a:prstGeom>
          </xdr:spPr>
        </xdr:pic>
      </xdr:grpSp>
      <xdr:sp macro="" textlink="Analysis!B5">
        <xdr:nvSpPr>
          <xdr:cNvPr id="4" name="TextBox 3">
            <a:extLst>
              <a:ext uri="{FF2B5EF4-FFF2-40B4-BE49-F238E27FC236}">
                <a16:creationId xmlns:a16="http://schemas.microsoft.com/office/drawing/2014/main" id="{6DD4E27D-1972-D39A-90B9-CAA2F7329EBC}"/>
              </a:ext>
            </a:extLst>
          </xdr:cNvPr>
          <xdr:cNvSpPr txBox="1"/>
        </xdr:nvSpPr>
        <xdr:spPr>
          <a:xfrm>
            <a:off x="2834952" y="1816520"/>
            <a:ext cx="1118119" cy="4759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60BC13B-686F-4972-86EB-FCBDAEBD7CF6}" type="TxLink">
              <a:rPr lang="en-US" sz="1400" b="1" i="0" u="none" strike="noStrike">
                <a:solidFill>
                  <a:srgbClr val="7030A0"/>
                </a:solidFill>
                <a:latin typeface="Calibri"/>
                <a:ea typeface="Calibri"/>
                <a:cs typeface="Calibri"/>
              </a:rPr>
              <a:pPr algn="ctr"/>
              <a:t>₹ 65,49,111</a:t>
            </a:fld>
            <a:endParaRPr lang="en-US" sz="2000" b="1">
              <a:solidFill>
                <a:srgbClr val="7030A0"/>
              </a:solidFill>
            </a:endParaRPr>
          </a:p>
        </xdr:txBody>
      </xdr:sp>
    </xdr:grpSp>
    <xdr:clientData/>
  </xdr:twoCellAnchor>
  <xdr:twoCellAnchor editAs="absolute">
    <xdr:from>
      <xdr:col>7</xdr:col>
      <xdr:colOff>388657</xdr:colOff>
      <xdr:row>5</xdr:row>
      <xdr:rowOff>16801</xdr:rowOff>
    </xdr:from>
    <xdr:to>
      <xdr:col>10</xdr:col>
      <xdr:colOff>350557</xdr:colOff>
      <xdr:row>10</xdr:row>
      <xdr:rowOff>100621</xdr:rowOff>
    </xdr:to>
    <xdr:grpSp>
      <xdr:nvGrpSpPr>
        <xdr:cNvPr id="54" name="Group 53">
          <a:extLst>
            <a:ext uri="{FF2B5EF4-FFF2-40B4-BE49-F238E27FC236}">
              <a16:creationId xmlns:a16="http://schemas.microsoft.com/office/drawing/2014/main" id="{D7D6BFDD-BC1E-1809-85F8-3B9BE9185BA4}"/>
            </a:ext>
          </a:extLst>
        </xdr:cNvPr>
        <xdr:cNvGrpSpPr/>
      </xdr:nvGrpSpPr>
      <xdr:grpSpPr>
        <a:xfrm>
          <a:off x="4636101" y="1427912"/>
          <a:ext cx="1782234" cy="1001042"/>
          <a:chOff x="4191000" y="1409700"/>
          <a:chExt cx="1790700" cy="998220"/>
        </a:xfrm>
      </xdr:grpSpPr>
      <xdr:grpSp>
        <xdr:nvGrpSpPr>
          <xdr:cNvPr id="85" name="Group 84">
            <a:extLst>
              <a:ext uri="{FF2B5EF4-FFF2-40B4-BE49-F238E27FC236}">
                <a16:creationId xmlns:a16="http://schemas.microsoft.com/office/drawing/2014/main" id="{3B0FB5E0-D117-A3A5-EE95-D5901C2FF769}"/>
              </a:ext>
            </a:extLst>
          </xdr:cNvPr>
          <xdr:cNvGrpSpPr/>
        </xdr:nvGrpSpPr>
        <xdr:grpSpPr>
          <a:xfrm>
            <a:off x="4191000" y="1409700"/>
            <a:ext cx="1790700" cy="998220"/>
            <a:chOff x="4181272" y="1418131"/>
            <a:chExt cx="1785837" cy="1016054"/>
          </a:xfrm>
        </xdr:grpSpPr>
        <xdr:grpSp>
          <xdr:nvGrpSpPr>
            <xdr:cNvPr id="67" name="Group 66">
              <a:extLst>
                <a:ext uri="{FF2B5EF4-FFF2-40B4-BE49-F238E27FC236}">
                  <a16:creationId xmlns:a16="http://schemas.microsoft.com/office/drawing/2014/main" id="{9AB90F40-55AB-AA7D-2AC7-005A3C866DE6}"/>
                </a:ext>
              </a:extLst>
            </xdr:cNvPr>
            <xdr:cNvGrpSpPr/>
          </xdr:nvGrpSpPr>
          <xdr:grpSpPr>
            <a:xfrm>
              <a:off x="4181272" y="1418131"/>
              <a:ext cx="1785837" cy="1016054"/>
              <a:chOff x="4191000" y="1409700"/>
              <a:chExt cx="1790700" cy="998220"/>
            </a:xfrm>
          </xdr:grpSpPr>
          <xdr:grpSp>
            <xdr:nvGrpSpPr>
              <xdr:cNvPr id="42" name="Group 41">
                <a:extLst>
                  <a:ext uri="{FF2B5EF4-FFF2-40B4-BE49-F238E27FC236}">
                    <a16:creationId xmlns:a16="http://schemas.microsoft.com/office/drawing/2014/main" id="{4D27F5A4-3393-340E-040E-129B93DED223}"/>
                  </a:ext>
                </a:extLst>
              </xdr:cNvPr>
              <xdr:cNvGrpSpPr/>
            </xdr:nvGrpSpPr>
            <xdr:grpSpPr>
              <a:xfrm>
                <a:off x="4191000" y="1409700"/>
                <a:ext cx="1790700" cy="998220"/>
                <a:chOff x="4191000" y="1409700"/>
                <a:chExt cx="1790700" cy="998220"/>
              </a:xfrm>
            </xdr:grpSpPr>
            <xdr:sp macro="" textlink="">
              <xdr:nvSpPr>
                <xdr:cNvPr id="18" name="Rectangle: Rounded Corners 17">
                  <a:extLst>
                    <a:ext uri="{FF2B5EF4-FFF2-40B4-BE49-F238E27FC236}">
                      <a16:creationId xmlns:a16="http://schemas.microsoft.com/office/drawing/2014/main" id="{7D6F07D5-29E4-518B-8FE9-BFB88D45D21F}"/>
                    </a:ext>
                  </a:extLst>
                </xdr:cNvPr>
                <xdr:cNvSpPr/>
              </xdr:nvSpPr>
              <xdr:spPr>
                <a:xfrm>
                  <a:off x="4350031" y="1409700"/>
                  <a:ext cx="1501200" cy="626400"/>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Rounded Corners 18">
                  <a:extLst>
                    <a:ext uri="{FF2B5EF4-FFF2-40B4-BE49-F238E27FC236}">
                      <a16:creationId xmlns:a16="http://schemas.microsoft.com/office/drawing/2014/main" id="{98C167C5-0216-5371-2D44-E105D351AF67}"/>
                    </a:ext>
                  </a:extLst>
                </xdr:cNvPr>
                <xdr:cNvSpPr/>
              </xdr:nvSpPr>
              <xdr:spPr>
                <a:xfrm>
                  <a:off x="4191000" y="1682791"/>
                  <a:ext cx="1790700" cy="725129"/>
                </a:xfrm>
                <a:prstGeom prst="roundRect">
                  <a:avLst/>
                </a:prstGeom>
                <a:solidFill>
                  <a:schemeClr val="bg1"/>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Isosceles Triangle 19">
                  <a:extLst>
                    <a:ext uri="{FF2B5EF4-FFF2-40B4-BE49-F238E27FC236}">
                      <a16:creationId xmlns:a16="http://schemas.microsoft.com/office/drawing/2014/main" id="{030888AF-B5AB-38E9-B3C7-A3DB317A7ADF}"/>
                    </a:ext>
                  </a:extLst>
                </xdr:cNvPr>
                <xdr:cNvSpPr/>
              </xdr:nvSpPr>
              <xdr:spPr>
                <a:xfrm rot="10800000">
                  <a:off x="4973602" y="1676646"/>
                  <a:ext cx="212231" cy="135194"/>
                </a:xfrm>
                <a:prstGeom prst="triangle">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xnSp macro="">
            <xdr:nvCxnSpPr>
              <xdr:cNvPr id="21" name="Straight Connector 20">
                <a:extLst>
                  <a:ext uri="{FF2B5EF4-FFF2-40B4-BE49-F238E27FC236}">
                    <a16:creationId xmlns:a16="http://schemas.microsoft.com/office/drawing/2014/main" id="{FFB2B3FD-EDDB-C201-6CA6-A7ABDDD3997F}"/>
                  </a:ext>
                </a:extLst>
              </xdr:cNvPr>
              <xdr:cNvCxnSpPr/>
            </xdr:nvCxnSpPr>
            <xdr:spPr>
              <a:xfrm>
                <a:off x="4714946" y="1799549"/>
                <a:ext cx="0" cy="516194"/>
              </a:xfrm>
              <a:prstGeom prst="line">
                <a:avLst/>
              </a:prstGeom>
              <a:ln w="12700">
                <a:solidFill>
                  <a:srgbClr val="002060"/>
                </a:solidFill>
              </a:ln>
            </xdr:spPr>
            <xdr:style>
              <a:lnRef idx="1">
                <a:schemeClr val="accent3"/>
              </a:lnRef>
              <a:fillRef idx="0">
                <a:schemeClr val="accent3"/>
              </a:fillRef>
              <a:effectRef idx="0">
                <a:schemeClr val="accent3"/>
              </a:effectRef>
              <a:fontRef idx="minor">
                <a:schemeClr val="tx1"/>
              </a:fontRef>
            </xdr:style>
          </xdr:cxnSp>
          <xdr:sp macro="" textlink="">
            <xdr:nvSpPr>
              <xdr:cNvPr id="48" name="TextBox 47">
                <a:extLst>
                  <a:ext uri="{FF2B5EF4-FFF2-40B4-BE49-F238E27FC236}">
                    <a16:creationId xmlns:a16="http://schemas.microsoft.com/office/drawing/2014/main" id="{D43EB0F9-7F84-E3E2-FA43-9BB89D7ED0B2}"/>
                  </a:ext>
                </a:extLst>
              </xdr:cNvPr>
              <xdr:cNvSpPr txBox="1"/>
            </xdr:nvSpPr>
            <xdr:spPr>
              <a:xfrm>
                <a:off x="4411980" y="1440180"/>
                <a:ext cx="1386840" cy="213360"/>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rPr>
                  <a:t>Avg.</a:t>
                </a:r>
                <a:r>
                  <a:rPr lang="en-US" sz="1400" baseline="0">
                    <a:solidFill>
                      <a:schemeClr val="bg1"/>
                    </a:solidFill>
                  </a:rPr>
                  <a:t> Room Rate</a:t>
                </a:r>
                <a:endParaRPr lang="en-US" sz="1400">
                  <a:solidFill>
                    <a:schemeClr val="bg1"/>
                  </a:solidFill>
                </a:endParaRPr>
              </a:p>
            </xdr:txBody>
          </xdr:sp>
        </xdr:grpSp>
        <xdr:pic>
          <xdr:nvPicPr>
            <xdr:cNvPr id="76" name="Picture 75">
              <a:extLst>
                <a:ext uri="{FF2B5EF4-FFF2-40B4-BE49-F238E27FC236}">
                  <a16:creationId xmlns:a16="http://schemas.microsoft.com/office/drawing/2014/main" id="{891295A8-F863-8B4B-5332-8F5FACBDB0B6}"/>
                </a:ext>
              </a:extLst>
            </xdr:cNvPr>
            <xdr:cNvPicPr>
              <a:picLocks noChangeAspect="1"/>
            </xdr:cNvPicPr>
          </xdr:nvPicPr>
          <xdr:blipFill>
            <a:blip xmlns:r="http://schemas.openxmlformats.org/officeDocument/2006/relationships" r:embed="rId4"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4221421" y="1836663"/>
              <a:ext cx="458360" cy="464984"/>
            </a:xfrm>
            <a:prstGeom prst="rect">
              <a:avLst/>
            </a:prstGeom>
          </xdr:spPr>
        </xdr:pic>
      </xdr:grpSp>
      <xdr:sp macro="" textlink="Analysis!B6">
        <xdr:nvSpPr>
          <xdr:cNvPr id="5" name="TextBox 4">
            <a:extLst>
              <a:ext uri="{FF2B5EF4-FFF2-40B4-BE49-F238E27FC236}">
                <a16:creationId xmlns:a16="http://schemas.microsoft.com/office/drawing/2014/main" id="{07DB8E06-DB61-979E-6CC1-0B8BB4B5832C}"/>
              </a:ext>
            </a:extLst>
          </xdr:cNvPr>
          <xdr:cNvSpPr txBox="1"/>
        </xdr:nvSpPr>
        <xdr:spPr>
          <a:xfrm>
            <a:off x="4819261" y="1868921"/>
            <a:ext cx="1044251" cy="3463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932F4F5-E0B9-4FD6-9551-F75090B2C49C}" type="TxLink">
              <a:rPr lang="en-US" sz="1600" b="1" i="0" u="none" strike="noStrike">
                <a:solidFill>
                  <a:srgbClr val="002060"/>
                </a:solidFill>
                <a:latin typeface="Calibri"/>
                <a:ea typeface="Calibri"/>
                <a:cs typeface="Calibri"/>
              </a:rPr>
              <a:pPr algn="ctr"/>
              <a:t>$7,639</a:t>
            </a:fld>
            <a:endParaRPr lang="en-US" sz="1600" b="1">
              <a:solidFill>
                <a:srgbClr val="002060"/>
              </a:solidFill>
            </a:endParaRPr>
          </a:p>
        </xdr:txBody>
      </xdr:sp>
    </xdr:grpSp>
    <xdr:clientData/>
  </xdr:twoCellAnchor>
  <xdr:twoCellAnchor editAs="absolute">
    <xdr:from>
      <xdr:col>10</xdr:col>
      <xdr:colOff>532298</xdr:colOff>
      <xdr:row>5</xdr:row>
      <xdr:rowOff>6059</xdr:rowOff>
    </xdr:from>
    <xdr:to>
      <xdr:col>13</xdr:col>
      <xdr:colOff>494198</xdr:colOff>
      <xdr:row>10</xdr:row>
      <xdr:rowOff>82259</xdr:rowOff>
    </xdr:to>
    <xdr:grpSp>
      <xdr:nvGrpSpPr>
        <xdr:cNvPr id="55" name="Group 54">
          <a:extLst>
            <a:ext uri="{FF2B5EF4-FFF2-40B4-BE49-F238E27FC236}">
              <a16:creationId xmlns:a16="http://schemas.microsoft.com/office/drawing/2014/main" id="{1BA2CBF1-B43D-158A-39B8-010DB9CC3FFF}"/>
            </a:ext>
          </a:extLst>
        </xdr:cNvPr>
        <xdr:cNvGrpSpPr/>
      </xdr:nvGrpSpPr>
      <xdr:grpSpPr>
        <a:xfrm>
          <a:off x="6600076" y="1417170"/>
          <a:ext cx="1782233" cy="993422"/>
          <a:chOff x="6141720" y="1417320"/>
          <a:chExt cx="1790700" cy="990600"/>
        </a:xfrm>
      </xdr:grpSpPr>
      <xdr:grpSp>
        <xdr:nvGrpSpPr>
          <xdr:cNvPr id="86" name="Group 85">
            <a:extLst>
              <a:ext uri="{FF2B5EF4-FFF2-40B4-BE49-F238E27FC236}">
                <a16:creationId xmlns:a16="http://schemas.microsoft.com/office/drawing/2014/main" id="{ACBB0732-81BB-1E2E-BAE5-ED1B02068381}"/>
              </a:ext>
            </a:extLst>
          </xdr:cNvPr>
          <xdr:cNvGrpSpPr/>
        </xdr:nvGrpSpPr>
        <xdr:grpSpPr>
          <a:xfrm>
            <a:off x="6141720" y="1417320"/>
            <a:ext cx="1790700" cy="990600"/>
            <a:chOff x="6125507" y="1425751"/>
            <a:chExt cx="1785836" cy="1008434"/>
          </a:xfrm>
        </xdr:grpSpPr>
        <xdr:grpSp>
          <xdr:nvGrpSpPr>
            <xdr:cNvPr id="68" name="Group 67">
              <a:extLst>
                <a:ext uri="{FF2B5EF4-FFF2-40B4-BE49-F238E27FC236}">
                  <a16:creationId xmlns:a16="http://schemas.microsoft.com/office/drawing/2014/main" id="{4013DD94-8234-BAEC-AC48-2BE7DAF2AFF6}"/>
                </a:ext>
              </a:extLst>
            </xdr:cNvPr>
            <xdr:cNvGrpSpPr/>
          </xdr:nvGrpSpPr>
          <xdr:grpSpPr>
            <a:xfrm>
              <a:off x="6125507" y="1425751"/>
              <a:ext cx="1785836" cy="1008434"/>
              <a:chOff x="6141720" y="1417320"/>
              <a:chExt cx="1790700" cy="990600"/>
            </a:xfrm>
          </xdr:grpSpPr>
          <xdr:grpSp>
            <xdr:nvGrpSpPr>
              <xdr:cNvPr id="43" name="Group 42">
                <a:extLst>
                  <a:ext uri="{FF2B5EF4-FFF2-40B4-BE49-F238E27FC236}">
                    <a16:creationId xmlns:a16="http://schemas.microsoft.com/office/drawing/2014/main" id="{7DC217AD-8534-ED38-B6C9-92138CD23B4A}"/>
                  </a:ext>
                </a:extLst>
              </xdr:cNvPr>
              <xdr:cNvGrpSpPr/>
            </xdr:nvGrpSpPr>
            <xdr:grpSpPr>
              <a:xfrm>
                <a:off x="6141720" y="1417320"/>
                <a:ext cx="1790700" cy="990600"/>
                <a:chOff x="6141720" y="1417320"/>
                <a:chExt cx="1790700" cy="990600"/>
              </a:xfrm>
            </xdr:grpSpPr>
            <xdr:sp macro="" textlink="">
              <xdr:nvSpPr>
                <xdr:cNvPr id="23" name="Rectangle: Rounded Corners 22">
                  <a:extLst>
                    <a:ext uri="{FF2B5EF4-FFF2-40B4-BE49-F238E27FC236}">
                      <a16:creationId xmlns:a16="http://schemas.microsoft.com/office/drawing/2014/main" id="{D8377B06-7F22-B7AB-F03E-E232C001AC5D}"/>
                    </a:ext>
                  </a:extLst>
                </xdr:cNvPr>
                <xdr:cNvSpPr/>
              </xdr:nvSpPr>
              <xdr:spPr>
                <a:xfrm>
                  <a:off x="6285511" y="1417320"/>
                  <a:ext cx="1501200" cy="626400"/>
                </a:xfrm>
                <a:prstGeom prst="roundRect">
                  <a:avLst/>
                </a:prstGeom>
                <a:solidFill>
                  <a:schemeClr val="accent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ectangle: Rounded Corners 23">
                  <a:extLst>
                    <a:ext uri="{FF2B5EF4-FFF2-40B4-BE49-F238E27FC236}">
                      <a16:creationId xmlns:a16="http://schemas.microsoft.com/office/drawing/2014/main" id="{D3CC9B76-F0D0-9FB0-F49B-1D5A76E11793}"/>
                    </a:ext>
                  </a:extLst>
                </xdr:cNvPr>
                <xdr:cNvSpPr/>
              </xdr:nvSpPr>
              <xdr:spPr>
                <a:xfrm>
                  <a:off x="6141720" y="1682791"/>
                  <a:ext cx="1790700" cy="725129"/>
                </a:xfrm>
                <a:prstGeom prst="roundRect">
                  <a:avLst/>
                </a:prstGeom>
                <a:solidFill>
                  <a:schemeClr val="bg1"/>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Isosceles Triangle 24">
                  <a:extLst>
                    <a:ext uri="{FF2B5EF4-FFF2-40B4-BE49-F238E27FC236}">
                      <a16:creationId xmlns:a16="http://schemas.microsoft.com/office/drawing/2014/main" id="{B9A64E25-5D6E-BD2D-A5C1-1BBFFF76D47F}"/>
                    </a:ext>
                  </a:extLst>
                </xdr:cNvPr>
                <xdr:cNvSpPr/>
              </xdr:nvSpPr>
              <xdr:spPr>
                <a:xfrm rot="10800000">
                  <a:off x="6924322" y="1676646"/>
                  <a:ext cx="212231" cy="135194"/>
                </a:xfrm>
                <a:prstGeom prst="triangle">
                  <a:avLst/>
                </a:prstGeom>
                <a:solidFill>
                  <a:schemeClr val="accent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xnSp macro="">
            <xdr:nvCxnSpPr>
              <xdr:cNvPr id="26" name="Straight Connector 25">
                <a:extLst>
                  <a:ext uri="{FF2B5EF4-FFF2-40B4-BE49-F238E27FC236}">
                    <a16:creationId xmlns:a16="http://schemas.microsoft.com/office/drawing/2014/main" id="{F9D3D4DF-BFD1-C7FA-92EF-42C54E80D948}"/>
                  </a:ext>
                </a:extLst>
              </xdr:cNvPr>
              <xdr:cNvCxnSpPr/>
            </xdr:nvCxnSpPr>
            <xdr:spPr>
              <a:xfrm>
                <a:off x="6665666" y="1799549"/>
                <a:ext cx="0" cy="516194"/>
              </a:xfrm>
              <a:prstGeom prst="line">
                <a:avLst/>
              </a:prstGeom>
              <a:ln w="12700">
                <a:solidFill>
                  <a:schemeClr val="accent5"/>
                </a:solidFill>
              </a:ln>
            </xdr:spPr>
            <xdr:style>
              <a:lnRef idx="1">
                <a:schemeClr val="accent3"/>
              </a:lnRef>
              <a:fillRef idx="0">
                <a:schemeClr val="accent3"/>
              </a:fillRef>
              <a:effectRef idx="0">
                <a:schemeClr val="accent3"/>
              </a:effectRef>
              <a:fontRef idx="minor">
                <a:schemeClr val="tx1"/>
              </a:fontRef>
            </xdr:style>
          </xdr:cxnSp>
          <xdr:sp macro="" textlink="">
            <xdr:nvSpPr>
              <xdr:cNvPr id="49" name="TextBox 48">
                <a:extLst>
                  <a:ext uri="{FF2B5EF4-FFF2-40B4-BE49-F238E27FC236}">
                    <a16:creationId xmlns:a16="http://schemas.microsoft.com/office/drawing/2014/main" id="{E2A3418D-95C5-F6BA-12FB-AC34D78BFAA8}"/>
                  </a:ext>
                </a:extLst>
              </xdr:cNvPr>
              <xdr:cNvSpPr txBox="1"/>
            </xdr:nvSpPr>
            <xdr:spPr>
              <a:xfrm>
                <a:off x="6324600" y="1440180"/>
                <a:ext cx="1453364" cy="246930"/>
              </a:xfrm>
              <a:prstGeom prst="rect">
                <a:avLst/>
              </a:prstGeom>
              <a:solidFill>
                <a:schemeClr val="accent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rPr>
                  <a:t>Avg.Night Stayed</a:t>
                </a:r>
              </a:p>
            </xdr:txBody>
          </xdr:sp>
        </xdr:grpSp>
        <xdr:pic>
          <xdr:nvPicPr>
            <xdr:cNvPr id="78" name="Picture 77">
              <a:extLst>
                <a:ext uri="{FF2B5EF4-FFF2-40B4-BE49-F238E27FC236}">
                  <a16:creationId xmlns:a16="http://schemas.microsoft.com/office/drawing/2014/main" id="{F27F5B18-2A38-8EB5-CBE2-1301CC79C076}"/>
                </a:ext>
              </a:extLst>
            </xdr:cNvPr>
            <xdr:cNvPicPr>
              <a:picLocks noChangeAspect="1"/>
            </xdr:cNvPicPr>
          </xdr:nvPicPr>
          <xdr:blipFill>
            <a:blip xmlns:r="http://schemas.openxmlformats.org/officeDocument/2006/relationships" r:embed="rId5"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6157626" y="1812919"/>
              <a:ext cx="460800" cy="464984"/>
            </a:xfrm>
            <a:prstGeom prst="rect">
              <a:avLst/>
            </a:prstGeom>
          </xdr:spPr>
        </xdr:pic>
      </xdr:grpSp>
      <xdr:sp macro="" textlink="Analysis!B8">
        <xdr:nvSpPr>
          <xdr:cNvPr id="9" name="TextBox 8">
            <a:extLst>
              <a:ext uri="{FF2B5EF4-FFF2-40B4-BE49-F238E27FC236}">
                <a16:creationId xmlns:a16="http://schemas.microsoft.com/office/drawing/2014/main" id="{9440EC6C-42EC-9DA6-C7CE-9A0BCF541B0C}"/>
              </a:ext>
            </a:extLst>
          </xdr:cNvPr>
          <xdr:cNvSpPr txBox="1"/>
        </xdr:nvSpPr>
        <xdr:spPr>
          <a:xfrm>
            <a:off x="6739127" y="1852225"/>
            <a:ext cx="1045028" cy="3502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974B2D-D531-47C1-94D2-2C5C7141E033}" type="TxLink">
              <a:rPr lang="en-US" sz="1600" b="1" i="0" u="none" strike="noStrike">
                <a:solidFill>
                  <a:srgbClr val="00B0F0"/>
                </a:solidFill>
                <a:latin typeface="Calibri"/>
                <a:ea typeface="Calibri"/>
                <a:cs typeface="Calibri"/>
              </a:rPr>
              <a:pPr algn="ctr"/>
              <a:t>4.30</a:t>
            </a:fld>
            <a:endParaRPr lang="en-US" sz="1600" b="1">
              <a:solidFill>
                <a:srgbClr val="00B0F0"/>
              </a:solidFill>
            </a:endParaRPr>
          </a:p>
        </xdr:txBody>
      </xdr:sp>
    </xdr:grpSp>
    <xdr:clientData/>
  </xdr:twoCellAnchor>
  <xdr:twoCellAnchor editAs="absolute">
    <xdr:from>
      <xdr:col>14</xdr:col>
      <xdr:colOff>81891</xdr:colOff>
      <xdr:row>5</xdr:row>
      <xdr:rowOff>22860</xdr:rowOff>
    </xdr:from>
    <xdr:to>
      <xdr:col>17</xdr:col>
      <xdr:colOff>43791</xdr:colOff>
      <xdr:row>10</xdr:row>
      <xdr:rowOff>91440</xdr:rowOff>
    </xdr:to>
    <xdr:grpSp>
      <xdr:nvGrpSpPr>
        <xdr:cNvPr id="56" name="Group 55">
          <a:extLst>
            <a:ext uri="{FF2B5EF4-FFF2-40B4-BE49-F238E27FC236}">
              <a16:creationId xmlns:a16="http://schemas.microsoft.com/office/drawing/2014/main" id="{49383232-EA78-D393-C41B-AF1E93FDBDB6}"/>
            </a:ext>
          </a:extLst>
        </xdr:cNvPr>
        <xdr:cNvGrpSpPr/>
      </xdr:nvGrpSpPr>
      <xdr:grpSpPr>
        <a:xfrm>
          <a:off x="8576780" y="1433971"/>
          <a:ext cx="1782233" cy="985802"/>
          <a:chOff x="8107680" y="1424940"/>
          <a:chExt cx="1790700" cy="982980"/>
        </a:xfrm>
      </xdr:grpSpPr>
      <xdr:grpSp>
        <xdr:nvGrpSpPr>
          <xdr:cNvPr id="87" name="Group 86">
            <a:extLst>
              <a:ext uri="{FF2B5EF4-FFF2-40B4-BE49-F238E27FC236}">
                <a16:creationId xmlns:a16="http://schemas.microsoft.com/office/drawing/2014/main" id="{19B91548-D17D-65E6-C672-274496A261DB}"/>
              </a:ext>
            </a:extLst>
          </xdr:cNvPr>
          <xdr:cNvGrpSpPr/>
        </xdr:nvGrpSpPr>
        <xdr:grpSpPr>
          <a:xfrm>
            <a:off x="8107680" y="1424940"/>
            <a:ext cx="1790700" cy="982980"/>
            <a:chOff x="8086603" y="1433371"/>
            <a:chExt cx="1785837" cy="1000814"/>
          </a:xfrm>
        </xdr:grpSpPr>
        <xdr:grpSp>
          <xdr:nvGrpSpPr>
            <xdr:cNvPr id="69" name="Group 68">
              <a:extLst>
                <a:ext uri="{FF2B5EF4-FFF2-40B4-BE49-F238E27FC236}">
                  <a16:creationId xmlns:a16="http://schemas.microsoft.com/office/drawing/2014/main" id="{20DF5D3B-C461-9272-5577-E4FDA2AB9DCB}"/>
                </a:ext>
              </a:extLst>
            </xdr:cNvPr>
            <xdr:cNvGrpSpPr/>
          </xdr:nvGrpSpPr>
          <xdr:grpSpPr>
            <a:xfrm>
              <a:off x="8086603" y="1433371"/>
              <a:ext cx="1785837" cy="1000814"/>
              <a:chOff x="8107680" y="1424940"/>
              <a:chExt cx="1790700" cy="982980"/>
            </a:xfrm>
          </xdr:grpSpPr>
          <xdr:grpSp>
            <xdr:nvGrpSpPr>
              <xdr:cNvPr id="44" name="Group 43">
                <a:extLst>
                  <a:ext uri="{FF2B5EF4-FFF2-40B4-BE49-F238E27FC236}">
                    <a16:creationId xmlns:a16="http://schemas.microsoft.com/office/drawing/2014/main" id="{48A242E9-3D5E-5AC8-EFBA-755F298EEF01}"/>
                  </a:ext>
                </a:extLst>
              </xdr:cNvPr>
              <xdr:cNvGrpSpPr/>
            </xdr:nvGrpSpPr>
            <xdr:grpSpPr>
              <a:xfrm>
                <a:off x="8107680" y="1424940"/>
                <a:ext cx="1790700" cy="982980"/>
                <a:chOff x="8107680" y="1424940"/>
                <a:chExt cx="1790700" cy="982980"/>
              </a:xfrm>
            </xdr:grpSpPr>
            <xdr:sp macro="" textlink="">
              <xdr:nvSpPr>
                <xdr:cNvPr id="28" name="Rectangle: Rounded Corners 27">
                  <a:extLst>
                    <a:ext uri="{FF2B5EF4-FFF2-40B4-BE49-F238E27FC236}">
                      <a16:creationId xmlns:a16="http://schemas.microsoft.com/office/drawing/2014/main" id="{39E6C7D6-C95A-58E9-C85B-0C22BACDA3FE}"/>
                    </a:ext>
                  </a:extLst>
                </xdr:cNvPr>
                <xdr:cNvSpPr/>
              </xdr:nvSpPr>
              <xdr:spPr>
                <a:xfrm>
                  <a:off x="8251471" y="1424940"/>
                  <a:ext cx="1501200" cy="626400"/>
                </a:xfrm>
                <a:prstGeom prst="round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Rectangle: Rounded Corners 28">
                  <a:extLst>
                    <a:ext uri="{FF2B5EF4-FFF2-40B4-BE49-F238E27FC236}">
                      <a16:creationId xmlns:a16="http://schemas.microsoft.com/office/drawing/2014/main" id="{D62FF4F4-594D-8CA7-EC8B-5EC44312DD3D}"/>
                    </a:ext>
                  </a:extLst>
                </xdr:cNvPr>
                <xdr:cNvSpPr/>
              </xdr:nvSpPr>
              <xdr:spPr>
                <a:xfrm>
                  <a:off x="8107680" y="1682791"/>
                  <a:ext cx="1790700" cy="725129"/>
                </a:xfrm>
                <a:prstGeom prst="roundRect">
                  <a:avLst/>
                </a:prstGeom>
                <a:solidFill>
                  <a:schemeClr val="bg1"/>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Isosceles Triangle 29">
                  <a:extLst>
                    <a:ext uri="{FF2B5EF4-FFF2-40B4-BE49-F238E27FC236}">
                      <a16:creationId xmlns:a16="http://schemas.microsoft.com/office/drawing/2014/main" id="{8FDFA350-A7B4-2D83-C9FB-50415E22224F}"/>
                    </a:ext>
                  </a:extLst>
                </xdr:cNvPr>
                <xdr:cNvSpPr/>
              </xdr:nvSpPr>
              <xdr:spPr>
                <a:xfrm rot="10800000">
                  <a:off x="8890282" y="1676646"/>
                  <a:ext cx="212231" cy="135194"/>
                </a:xfrm>
                <a:prstGeom prst="triangle">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xnSp macro="">
            <xdr:nvCxnSpPr>
              <xdr:cNvPr id="31" name="Straight Connector 30">
                <a:extLst>
                  <a:ext uri="{FF2B5EF4-FFF2-40B4-BE49-F238E27FC236}">
                    <a16:creationId xmlns:a16="http://schemas.microsoft.com/office/drawing/2014/main" id="{6B9B6176-6635-9B64-4BAF-61C9975EE9F8}"/>
                  </a:ext>
                </a:extLst>
              </xdr:cNvPr>
              <xdr:cNvCxnSpPr/>
            </xdr:nvCxnSpPr>
            <xdr:spPr>
              <a:xfrm>
                <a:off x="8631626" y="1799549"/>
                <a:ext cx="0" cy="516194"/>
              </a:xfrm>
              <a:prstGeom prst="line">
                <a:avLst/>
              </a:prstGeom>
              <a:ln w="12700">
                <a:solidFill>
                  <a:schemeClr val="accent6"/>
                </a:solidFill>
              </a:ln>
            </xdr:spPr>
            <xdr:style>
              <a:lnRef idx="1">
                <a:schemeClr val="accent3"/>
              </a:lnRef>
              <a:fillRef idx="0">
                <a:schemeClr val="accent3"/>
              </a:fillRef>
              <a:effectRef idx="0">
                <a:schemeClr val="accent3"/>
              </a:effectRef>
              <a:fontRef idx="minor">
                <a:schemeClr val="tx1"/>
              </a:fontRef>
            </xdr:style>
          </xdr:cxnSp>
          <xdr:sp macro="" textlink="">
            <xdr:nvSpPr>
              <xdr:cNvPr id="50" name="TextBox 49">
                <a:extLst>
                  <a:ext uri="{FF2B5EF4-FFF2-40B4-BE49-F238E27FC236}">
                    <a16:creationId xmlns:a16="http://schemas.microsoft.com/office/drawing/2014/main" id="{543F1849-6EF3-6393-3B6B-CB9466B49C49}"/>
                  </a:ext>
                </a:extLst>
              </xdr:cNvPr>
              <xdr:cNvSpPr txBox="1"/>
            </xdr:nvSpPr>
            <xdr:spPr>
              <a:xfrm>
                <a:off x="8321040" y="1447800"/>
                <a:ext cx="1341120" cy="20574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rPr>
                  <a:t>Avrage Rating</a:t>
                </a:r>
              </a:p>
            </xdr:txBody>
          </xdr:sp>
        </xdr:grpSp>
        <xdr:pic>
          <xdr:nvPicPr>
            <xdr:cNvPr id="80" name="Picture 79">
              <a:extLst>
                <a:ext uri="{FF2B5EF4-FFF2-40B4-BE49-F238E27FC236}">
                  <a16:creationId xmlns:a16="http://schemas.microsoft.com/office/drawing/2014/main" id="{240B777F-BA46-3246-F793-4B55E8B77D41}"/>
                </a:ext>
              </a:extLst>
            </xdr:cNvPr>
            <xdr:cNvPicPr>
              <a:picLocks noChangeAspect="1"/>
            </xdr:cNvPicPr>
          </xdr:nvPicPr>
          <xdr:blipFill>
            <a:blip xmlns:r="http://schemas.openxmlformats.org/officeDocument/2006/relationships" r:embed="rId6"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8129046" y="1828469"/>
              <a:ext cx="458360" cy="464984"/>
            </a:xfrm>
            <a:prstGeom prst="rect">
              <a:avLst/>
            </a:prstGeom>
          </xdr:spPr>
        </xdr:pic>
      </xdr:grpSp>
      <xdr:sp macro="" textlink="Analysis!B7">
        <xdr:nvSpPr>
          <xdr:cNvPr id="11" name="TextBox 10">
            <a:extLst>
              <a:ext uri="{FF2B5EF4-FFF2-40B4-BE49-F238E27FC236}">
                <a16:creationId xmlns:a16="http://schemas.microsoft.com/office/drawing/2014/main" id="{05E757D3-0BA6-07CA-DF80-B4FFE386E55F}"/>
              </a:ext>
            </a:extLst>
          </xdr:cNvPr>
          <xdr:cNvSpPr txBox="1"/>
        </xdr:nvSpPr>
        <xdr:spPr>
          <a:xfrm>
            <a:off x="8767665" y="1888360"/>
            <a:ext cx="975050" cy="3346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11BF1AF-C2CC-4E3C-A3C9-7B3B4872E41E}" type="TxLink">
              <a:rPr lang="en-US" sz="1600" b="1" i="0" u="none" strike="noStrike">
                <a:solidFill>
                  <a:schemeClr val="accent6"/>
                </a:solidFill>
                <a:latin typeface="Calibri"/>
                <a:ea typeface="Calibri"/>
                <a:cs typeface="Calibri"/>
              </a:rPr>
              <a:pPr algn="ctr"/>
              <a:t>2.91</a:t>
            </a:fld>
            <a:endParaRPr lang="en-US" sz="1600" b="1">
              <a:solidFill>
                <a:schemeClr val="accent6"/>
              </a:solidFill>
            </a:endParaRPr>
          </a:p>
        </xdr:txBody>
      </xdr:sp>
    </xdr:grpSp>
    <xdr:clientData/>
  </xdr:twoCellAnchor>
  <xdr:twoCellAnchor editAs="absolute">
    <xdr:from>
      <xdr:col>17</xdr:col>
      <xdr:colOff>252653</xdr:colOff>
      <xdr:row>5</xdr:row>
      <xdr:rowOff>6547</xdr:rowOff>
    </xdr:from>
    <xdr:to>
      <xdr:col>20</xdr:col>
      <xdr:colOff>214554</xdr:colOff>
      <xdr:row>10</xdr:row>
      <xdr:rowOff>90367</xdr:rowOff>
    </xdr:to>
    <xdr:grpSp>
      <xdr:nvGrpSpPr>
        <xdr:cNvPr id="58" name="Group 57">
          <a:extLst>
            <a:ext uri="{FF2B5EF4-FFF2-40B4-BE49-F238E27FC236}">
              <a16:creationId xmlns:a16="http://schemas.microsoft.com/office/drawing/2014/main" id="{8D06B1B7-F7FD-147C-6691-064BD07DA78D}"/>
            </a:ext>
          </a:extLst>
        </xdr:cNvPr>
        <xdr:cNvGrpSpPr/>
      </xdr:nvGrpSpPr>
      <xdr:grpSpPr>
        <a:xfrm>
          <a:off x="10567875" y="1417658"/>
          <a:ext cx="1782235" cy="1001042"/>
          <a:chOff x="10088880" y="1417807"/>
          <a:chExt cx="1790700" cy="998220"/>
        </a:xfrm>
      </xdr:grpSpPr>
      <xdr:grpSp>
        <xdr:nvGrpSpPr>
          <xdr:cNvPr id="88" name="Group 87">
            <a:extLst>
              <a:ext uri="{FF2B5EF4-FFF2-40B4-BE49-F238E27FC236}">
                <a16:creationId xmlns:a16="http://schemas.microsoft.com/office/drawing/2014/main" id="{190B81EF-4899-9B2B-DB86-3BE0FBBE106C}"/>
              </a:ext>
            </a:extLst>
          </xdr:cNvPr>
          <xdr:cNvGrpSpPr/>
        </xdr:nvGrpSpPr>
        <xdr:grpSpPr>
          <a:xfrm>
            <a:off x="10088880" y="1417807"/>
            <a:ext cx="1790700" cy="998220"/>
            <a:chOff x="10062940" y="1418131"/>
            <a:chExt cx="1785836" cy="1016054"/>
          </a:xfrm>
        </xdr:grpSpPr>
        <xdr:grpSp>
          <xdr:nvGrpSpPr>
            <xdr:cNvPr id="70" name="Group 69">
              <a:extLst>
                <a:ext uri="{FF2B5EF4-FFF2-40B4-BE49-F238E27FC236}">
                  <a16:creationId xmlns:a16="http://schemas.microsoft.com/office/drawing/2014/main" id="{3F012365-F99A-A8DD-8400-2E80FFC354EF}"/>
                </a:ext>
              </a:extLst>
            </xdr:cNvPr>
            <xdr:cNvGrpSpPr/>
          </xdr:nvGrpSpPr>
          <xdr:grpSpPr>
            <a:xfrm>
              <a:off x="10062940" y="1418131"/>
              <a:ext cx="1785836" cy="1016054"/>
              <a:chOff x="10088880" y="1409700"/>
              <a:chExt cx="1790700" cy="998220"/>
            </a:xfrm>
          </xdr:grpSpPr>
          <xdr:grpSp>
            <xdr:nvGrpSpPr>
              <xdr:cNvPr id="45" name="Group 44">
                <a:extLst>
                  <a:ext uri="{FF2B5EF4-FFF2-40B4-BE49-F238E27FC236}">
                    <a16:creationId xmlns:a16="http://schemas.microsoft.com/office/drawing/2014/main" id="{36C8EFE4-B7B5-A0C6-5FAB-8B3EE4502E51}"/>
                  </a:ext>
                </a:extLst>
              </xdr:cNvPr>
              <xdr:cNvGrpSpPr/>
            </xdr:nvGrpSpPr>
            <xdr:grpSpPr>
              <a:xfrm>
                <a:off x="10088880" y="1409700"/>
                <a:ext cx="1790700" cy="998220"/>
                <a:chOff x="10088880" y="1409700"/>
                <a:chExt cx="1790700" cy="998220"/>
              </a:xfrm>
            </xdr:grpSpPr>
            <xdr:sp macro="" textlink="">
              <xdr:nvSpPr>
                <xdr:cNvPr id="33" name="Rectangle: Rounded Corners 32">
                  <a:extLst>
                    <a:ext uri="{FF2B5EF4-FFF2-40B4-BE49-F238E27FC236}">
                      <a16:creationId xmlns:a16="http://schemas.microsoft.com/office/drawing/2014/main" id="{795AA929-2FFF-B797-E10F-256F072ED02C}"/>
                    </a:ext>
                  </a:extLst>
                </xdr:cNvPr>
                <xdr:cNvSpPr/>
              </xdr:nvSpPr>
              <xdr:spPr>
                <a:xfrm>
                  <a:off x="10180109" y="1409700"/>
                  <a:ext cx="1625856" cy="622993"/>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4" name="Rectangle: Rounded Corners 33">
                  <a:extLst>
                    <a:ext uri="{FF2B5EF4-FFF2-40B4-BE49-F238E27FC236}">
                      <a16:creationId xmlns:a16="http://schemas.microsoft.com/office/drawing/2014/main" id="{B45F6F66-D27E-CB32-B426-81C38951A288}"/>
                    </a:ext>
                  </a:extLst>
                </xdr:cNvPr>
                <xdr:cNvSpPr/>
              </xdr:nvSpPr>
              <xdr:spPr>
                <a:xfrm>
                  <a:off x="10088880" y="1682791"/>
                  <a:ext cx="1790700" cy="725129"/>
                </a:xfrm>
                <a:prstGeom prst="roundRect">
                  <a:avLst/>
                </a:prstGeom>
                <a:solidFill>
                  <a:schemeClr val="bg1"/>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5" name="Isosceles Triangle 34">
                  <a:extLst>
                    <a:ext uri="{FF2B5EF4-FFF2-40B4-BE49-F238E27FC236}">
                      <a16:creationId xmlns:a16="http://schemas.microsoft.com/office/drawing/2014/main" id="{DE5A3F84-95C9-8CD1-EB2A-F1B06443D94E}"/>
                    </a:ext>
                  </a:extLst>
                </xdr:cNvPr>
                <xdr:cNvSpPr/>
              </xdr:nvSpPr>
              <xdr:spPr>
                <a:xfrm rot="10800000">
                  <a:off x="10871482" y="1676646"/>
                  <a:ext cx="212231" cy="135194"/>
                </a:xfrm>
                <a:prstGeom prst="triangle">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xnSp macro="">
            <xdr:nvCxnSpPr>
              <xdr:cNvPr id="36" name="Straight Connector 35">
                <a:extLst>
                  <a:ext uri="{FF2B5EF4-FFF2-40B4-BE49-F238E27FC236}">
                    <a16:creationId xmlns:a16="http://schemas.microsoft.com/office/drawing/2014/main" id="{E1B080B1-E52A-D8B5-F3C4-CEBD36382858}"/>
                  </a:ext>
                </a:extLst>
              </xdr:cNvPr>
              <xdr:cNvCxnSpPr/>
            </xdr:nvCxnSpPr>
            <xdr:spPr>
              <a:xfrm>
                <a:off x="10612826" y="1799549"/>
                <a:ext cx="0" cy="516194"/>
              </a:xfrm>
              <a:prstGeom prst="line">
                <a:avLst/>
              </a:prstGeom>
              <a:ln w="12700">
                <a:solidFill>
                  <a:schemeClr val="accent2"/>
                </a:solidFill>
              </a:ln>
            </xdr:spPr>
            <xdr:style>
              <a:lnRef idx="1">
                <a:schemeClr val="accent3"/>
              </a:lnRef>
              <a:fillRef idx="0">
                <a:schemeClr val="accent3"/>
              </a:fillRef>
              <a:effectRef idx="0">
                <a:schemeClr val="accent3"/>
              </a:effectRef>
              <a:fontRef idx="minor">
                <a:schemeClr val="tx1"/>
              </a:fontRef>
            </xdr:style>
          </xdr:cxnSp>
          <xdr:sp macro="" textlink="">
            <xdr:nvSpPr>
              <xdr:cNvPr id="51" name="TextBox 50">
                <a:extLst>
                  <a:ext uri="{FF2B5EF4-FFF2-40B4-BE49-F238E27FC236}">
                    <a16:creationId xmlns:a16="http://schemas.microsoft.com/office/drawing/2014/main" id="{0838925D-FF23-ADED-5247-E6FC580A06D7}"/>
                  </a:ext>
                </a:extLst>
              </xdr:cNvPr>
              <xdr:cNvSpPr txBox="1"/>
            </xdr:nvSpPr>
            <xdr:spPr>
              <a:xfrm>
                <a:off x="10200197" y="1427176"/>
                <a:ext cx="1571895" cy="240369"/>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rPr>
                  <a:t>Cancellation Rate</a:t>
                </a:r>
              </a:p>
            </xdr:txBody>
          </xdr:sp>
        </xdr:grpSp>
        <xdr:pic>
          <xdr:nvPicPr>
            <xdr:cNvPr id="82" name="Picture 81">
              <a:extLst>
                <a:ext uri="{FF2B5EF4-FFF2-40B4-BE49-F238E27FC236}">
                  <a16:creationId xmlns:a16="http://schemas.microsoft.com/office/drawing/2014/main" id="{22F5C8A6-8039-82D8-EE53-BF7FBDF8E827}"/>
                </a:ext>
              </a:extLst>
            </xdr:cNvPr>
            <xdr:cNvPicPr>
              <a:picLocks noChangeAspect="1"/>
            </xdr:cNvPicPr>
          </xdr:nvPicPr>
          <xdr:blipFill>
            <a:blip xmlns:r="http://schemas.openxmlformats.org/officeDocument/2006/relationships" r:embed="rId7"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10100466" y="1836663"/>
              <a:ext cx="458359" cy="464984"/>
            </a:xfrm>
            <a:prstGeom prst="rect">
              <a:avLst/>
            </a:prstGeom>
          </xdr:spPr>
        </xdr:pic>
      </xdr:grpSp>
      <xdr:sp macro="" textlink="Analysis!E9">
        <xdr:nvSpPr>
          <xdr:cNvPr id="12" name="TextBox 11">
            <a:extLst>
              <a:ext uri="{FF2B5EF4-FFF2-40B4-BE49-F238E27FC236}">
                <a16:creationId xmlns:a16="http://schemas.microsoft.com/office/drawing/2014/main" id="{23BBA719-8551-51B0-FDE0-93FD8D326DCA}"/>
              </a:ext>
            </a:extLst>
          </xdr:cNvPr>
          <xdr:cNvSpPr txBox="1"/>
        </xdr:nvSpPr>
        <xdr:spPr>
          <a:xfrm>
            <a:off x="10716986" y="1888360"/>
            <a:ext cx="978159" cy="3463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5E3F5B-305E-4CB6-B222-CBEE95B11605}" type="TxLink">
              <a:rPr lang="en-US" sz="1600" b="1" i="0" u="none" strike="noStrike">
                <a:solidFill>
                  <a:schemeClr val="accent2"/>
                </a:solidFill>
                <a:latin typeface="Calibri"/>
                <a:ea typeface="Calibri"/>
                <a:cs typeface="Calibri"/>
              </a:rPr>
              <a:pPr algn="ctr"/>
              <a:t>22.50%</a:t>
            </a:fld>
            <a:endParaRPr lang="en-US" sz="1600" b="1">
              <a:solidFill>
                <a:schemeClr val="accent2"/>
              </a:solidFill>
            </a:endParaRPr>
          </a:p>
        </xdr:txBody>
      </xdr:sp>
    </xdr:grpSp>
    <xdr:clientData/>
  </xdr:twoCellAnchor>
  <xdr:twoCellAnchor editAs="absolute">
    <xdr:from>
      <xdr:col>0</xdr:col>
      <xdr:colOff>305769</xdr:colOff>
      <xdr:row>10</xdr:row>
      <xdr:rowOff>164041</xdr:rowOff>
    </xdr:from>
    <xdr:to>
      <xdr:col>7</xdr:col>
      <xdr:colOff>49091</xdr:colOff>
      <xdr:row>26</xdr:row>
      <xdr:rowOff>47625</xdr:rowOff>
    </xdr:to>
    <xdr:grpSp>
      <xdr:nvGrpSpPr>
        <xdr:cNvPr id="32" name="Group 31">
          <a:extLst>
            <a:ext uri="{FF2B5EF4-FFF2-40B4-BE49-F238E27FC236}">
              <a16:creationId xmlns:a16="http://schemas.microsoft.com/office/drawing/2014/main" id="{DC0107DC-3DA5-9102-147E-485731EB3102}"/>
            </a:ext>
          </a:extLst>
        </xdr:cNvPr>
        <xdr:cNvGrpSpPr/>
      </xdr:nvGrpSpPr>
      <xdr:grpSpPr>
        <a:xfrm>
          <a:off x="305769" y="2492374"/>
          <a:ext cx="3990766" cy="2818695"/>
          <a:chOff x="137583" y="2698750"/>
          <a:chExt cx="4101042" cy="2476500"/>
        </a:xfrm>
      </xdr:grpSpPr>
      <xdr:sp macro="" textlink="">
        <xdr:nvSpPr>
          <xdr:cNvPr id="22" name="Rectangle: Rounded Corners 21">
            <a:extLst>
              <a:ext uri="{FF2B5EF4-FFF2-40B4-BE49-F238E27FC236}">
                <a16:creationId xmlns:a16="http://schemas.microsoft.com/office/drawing/2014/main" id="{250D3E53-C4D6-409F-9401-DEA591F0BF22}"/>
              </a:ext>
            </a:extLst>
          </xdr:cNvPr>
          <xdr:cNvSpPr/>
        </xdr:nvSpPr>
        <xdr:spPr>
          <a:xfrm>
            <a:off x="137583" y="2698750"/>
            <a:ext cx="4101042" cy="2476500"/>
          </a:xfrm>
          <a:prstGeom prst="roundRect">
            <a:avLst/>
          </a:prstGeom>
          <a:solidFill>
            <a:schemeClr val="bg1"/>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7" name="Chart 26">
            <a:extLst>
              <a:ext uri="{FF2B5EF4-FFF2-40B4-BE49-F238E27FC236}">
                <a16:creationId xmlns:a16="http://schemas.microsoft.com/office/drawing/2014/main" id="{41CB3F55-6E1B-40BC-8BA5-96E7F5A60799}"/>
              </a:ext>
            </a:extLst>
          </xdr:cNvPr>
          <xdr:cNvGraphicFramePr>
            <a:graphicFrameLocks/>
          </xdr:cNvGraphicFramePr>
        </xdr:nvGraphicFramePr>
        <xdr:xfrm>
          <a:off x="248708" y="2772832"/>
          <a:ext cx="3820584" cy="2323041"/>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editAs="absolute">
    <xdr:from>
      <xdr:col>7</xdr:col>
      <xdr:colOff>452597</xdr:colOff>
      <xdr:row>10</xdr:row>
      <xdr:rowOff>149570</xdr:rowOff>
    </xdr:from>
    <xdr:to>
      <xdr:col>14</xdr:col>
      <xdr:colOff>426139</xdr:colOff>
      <xdr:row>26</xdr:row>
      <xdr:rowOff>33152</xdr:rowOff>
    </xdr:to>
    <xdr:grpSp>
      <xdr:nvGrpSpPr>
        <xdr:cNvPr id="41" name="Group 40">
          <a:extLst>
            <a:ext uri="{FF2B5EF4-FFF2-40B4-BE49-F238E27FC236}">
              <a16:creationId xmlns:a16="http://schemas.microsoft.com/office/drawing/2014/main" id="{6476DF61-E057-9C6E-C806-31593BD0EA26}"/>
            </a:ext>
          </a:extLst>
        </xdr:cNvPr>
        <xdr:cNvGrpSpPr/>
      </xdr:nvGrpSpPr>
      <xdr:grpSpPr>
        <a:xfrm>
          <a:off x="4700041" y="2477903"/>
          <a:ext cx="4220987" cy="2818693"/>
          <a:chOff x="4122208" y="2492375"/>
          <a:chExt cx="4233334" cy="2846915"/>
        </a:xfrm>
      </xdr:grpSpPr>
      <xdr:sp macro="" textlink="">
        <xdr:nvSpPr>
          <xdr:cNvPr id="37" name="Rectangle: Rounded Corners 36">
            <a:extLst>
              <a:ext uri="{FF2B5EF4-FFF2-40B4-BE49-F238E27FC236}">
                <a16:creationId xmlns:a16="http://schemas.microsoft.com/office/drawing/2014/main" id="{6682D781-D80F-B85C-D0A5-376CA1DE7324}"/>
              </a:ext>
            </a:extLst>
          </xdr:cNvPr>
          <xdr:cNvSpPr/>
        </xdr:nvSpPr>
        <xdr:spPr>
          <a:xfrm>
            <a:off x="4122208" y="2492375"/>
            <a:ext cx="4233334" cy="2846915"/>
          </a:xfrm>
          <a:prstGeom prst="roundRect">
            <a:avLst/>
          </a:prstGeom>
          <a:solidFill>
            <a:schemeClr val="bg1"/>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p>
        </xdr:txBody>
      </xdr:sp>
      <xdr:graphicFrame macro="">
        <xdr:nvGraphicFramePr>
          <xdr:cNvPr id="40" name="Chart 39">
            <a:extLst>
              <a:ext uri="{FF2B5EF4-FFF2-40B4-BE49-F238E27FC236}">
                <a16:creationId xmlns:a16="http://schemas.microsoft.com/office/drawing/2014/main" id="{2AE36FFA-DCEC-4955-AFC4-6296B7C12E10}"/>
              </a:ext>
            </a:extLst>
          </xdr:cNvPr>
          <xdr:cNvGraphicFramePr>
            <a:graphicFrameLocks/>
          </xdr:cNvGraphicFramePr>
        </xdr:nvGraphicFramePr>
        <xdr:xfrm>
          <a:off x="4159412" y="2690807"/>
          <a:ext cx="4074582" cy="2465917"/>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15</xdr:col>
      <xdr:colOff>381270</xdr:colOff>
      <xdr:row>10</xdr:row>
      <xdr:rowOff>174433</xdr:rowOff>
    </xdr:from>
    <xdr:to>
      <xdr:col>23</xdr:col>
      <xdr:colOff>372090</xdr:colOff>
      <xdr:row>26</xdr:row>
      <xdr:rowOff>0</xdr:rowOff>
    </xdr:to>
    <xdr:grpSp>
      <xdr:nvGrpSpPr>
        <xdr:cNvPr id="71" name="Group 70">
          <a:extLst>
            <a:ext uri="{FF2B5EF4-FFF2-40B4-BE49-F238E27FC236}">
              <a16:creationId xmlns:a16="http://schemas.microsoft.com/office/drawing/2014/main" id="{F75F2F18-52D8-0C70-2F8C-6283544A1BB1}"/>
            </a:ext>
          </a:extLst>
        </xdr:cNvPr>
        <xdr:cNvGrpSpPr/>
      </xdr:nvGrpSpPr>
      <xdr:grpSpPr>
        <a:xfrm>
          <a:off x="9482937" y="2502766"/>
          <a:ext cx="4845042" cy="2760678"/>
          <a:chOff x="8326916" y="2506337"/>
          <a:chExt cx="4241494" cy="2763398"/>
        </a:xfrm>
      </xdr:grpSpPr>
      <xdr:sp macro="" textlink="">
        <xdr:nvSpPr>
          <xdr:cNvPr id="17" name="Rectangle: Rounded Corners 16">
            <a:extLst>
              <a:ext uri="{FF2B5EF4-FFF2-40B4-BE49-F238E27FC236}">
                <a16:creationId xmlns:a16="http://schemas.microsoft.com/office/drawing/2014/main" id="{1004E973-6B31-D7CC-205A-EB5BCEE34FF2}"/>
              </a:ext>
            </a:extLst>
          </xdr:cNvPr>
          <xdr:cNvSpPr/>
        </xdr:nvSpPr>
        <xdr:spPr>
          <a:xfrm>
            <a:off x="8326916" y="2506337"/>
            <a:ext cx="4241494" cy="2763398"/>
          </a:xfrm>
          <a:prstGeom prst="roundRect">
            <a:avLst/>
          </a:prstGeom>
          <a:solidFill>
            <a:schemeClr val="bg1"/>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9" name="Chart 58">
            <a:extLst>
              <a:ext uri="{FF2B5EF4-FFF2-40B4-BE49-F238E27FC236}">
                <a16:creationId xmlns:a16="http://schemas.microsoft.com/office/drawing/2014/main" id="{32F66981-FC26-48DF-85CA-521216A55ED2}"/>
              </a:ext>
            </a:extLst>
          </xdr:cNvPr>
          <xdr:cNvGraphicFramePr>
            <a:graphicFrameLocks/>
          </xdr:cNvGraphicFramePr>
        </xdr:nvGraphicFramePr>
        <xdr:xfrm>
          <a:off x="8464627" y="2561423"/>
          <a:ext cx="3975253" cy="2524698"/>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0</xdr:col>
      <xdr:colOff>36722</xdr:colOff>
      <xdr:row>26</xdr:row>
      <xdr:rowOff>119349</xdr:rowOff>
    </xdr:from>
    <xdr:to>
      <xdr:col>8</xdr:col>
      <xdr:colOff>18361</xdr:colOff>
      <xdr:row>41</xdr:row>
      <xdr:rowOff>36722</xdr:rowOff>
    </xdr:to>
    <xdr:sp macro="" textlink="">
      <xdr:nvSpPr>
        <xdr:cNvPr id="60" name="Rectangle: Rounded Corners 59">
          <a:extLst>
            <a:ext uri="{FF2B5EF4-FFF2-40B4-BE49-F238E27FC236}">
              <a16:creationId xmlns:a16="http://schemas.microsoft.com/office/drawing/2014/main" id="{4B174A32-CCD2-2B80-0C0A-3CDDF99B296D}"/>
            </a:ext>
          </a:extLst>
        </xdr:cNvPr>
        <xdr:cNvSpPr/>
      </xdr:nvSpPr>
      <xdr:spPr>
        <a:xfrm>
          <a:off x="36722" y="5379903"/>
          <a:ext cx="4829061" cy="2671590"/>
        </a:xfrm>
        <a:prstGeom prst="roundRect">
          <a:avLst/>
        </a:prstGeom>
        <a:solidFill>
          <a:schemeClr val="bg1"/>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174434</xdr:colOff>
      <xdr:row>27</xdr:row>
      <xdr:rowOff>36723</xdr:rowOff>
    </xdr:from>
    <xdr:to>
      <xdr:col>7</xdr:col>
      <xdr:colOff>431495</xdr:colOff>
      <xdr:row>39</xdr:row>
      <xdr:rowOff>183614</xdr:rowOff>
    </xdr:to>
    <xdr:graphicFrame macro="">
      <xdr:nvGraphicFramePr>
        <xdr:cNvPr id="61" name="Chart 60">
          <a:extLst>
            <a:ext uri="{FF2B5EF4-FFF2-40B4-BE49-F238E27FC236}">
              <a16:creationId xmlns:a16="http://schemas.microsoft.com/office/drawing/2014/main" id="{0510F3B6-C999-4F08-9BA7-FF69B26F27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110168</xdr:colOff>
      <xdr:row>26</xdr:row>
      <xdr:rowOff>128530</xdr:rowOff>
    </xdr:from>
    <xdr:to>
      <xdr:col>16</xdr:col>
      <xdr:colOff>91808</xdr:colOff>
      <xdr:row>41</xdr:row>
      <xdr:rowOff>64264</xdr:rowOff>
    </xdr:to>
    <xdr:sp macro="" textlink="">
      <xdr:nvSpPr>
        <xdr:cNvPr id="62" name="Rectangle: Rounded Corners 61">
          <a:extLst>
            <a:ext uri="{FF2B5EF4-FFF2-40B4-BE49-F238E27FC236}">
              <a16:creationId xmlns:a16="http://schemas.microsoft.com/office/drawing/2014/main" id="{B3E86601-B7C5-6222-AC6E-FBE25B2AFE6B}"/>
            </a:ext>
          </a:extLst>
        </xdr:cNvPr>
        <xdr:cNvSpPr/>
      </xdr:nvSpPr>
      <xdr:spPr>
        <a:xfrm>
          <a:off x="4957590" y="5389084"/>
          <a:ext cx="4829061" cy="2689951"/>
        </a:xfrm>
        <a:prstGeom prst="roundRect">
          <a:avLst/>
        </a:prstGeom>
        <a:solidFill>
          <a:schemeClr val="bg1"/>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367228</xdr:colOff>
      <xdr:row>27</xdr:row>
      <xdr:rowOff>55084</xdr:rowOff>
    </xdr:from>
    <xdr:to>
      <xdr:col>15</xdr:col>
      <xdr:colOff>550843</xdr:colOff>
      <xdr:row>40</xdr:row>
      <xdr:rowOff>27542</xdr:rowOff>
    </xdr:to>
    <xdr:graphicFrame macro="">
      <xdr:nvGraphicFramePr>
        <xdr:cNvPr id="63" name="Chart 62">
          <a:extLst>
            <a:ext uri="{FF2B5EF4-FFF2-40B4-BE49-F238E27FC236}">
              <a16:creationId xmlns:a16="http://schemas.microsoft.com/office/drawing/2014/main" id="{D56E8D82-BB8D-4468-83A3-CAF03C0E49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400532</xdr:colOff>
      <xdr:row>41</xdr:row>
      <xdr:rowOff>145811</xdr:rowOff>
    </xdr:from>
    <xdr:to>
      <xdr:col>13</xdr:col>
      <xdr:colOff>281182</xdr:colOff>
      <xdr:row>59</xdr:row>
      <xdr:rowOff>39963</xdr:rowOff>
    </xdr:to>
    <xdr:sp macro="" textlink="">
      <xdr:nvSpPr>
        <xdr:cNvPr id="64" name="Rectangle: Rounded Corners 63">
          <a:extLst>
            <a:ext uri="{FF2B5EF4-FFF2-40B4-BE49-F238E27FC236}">
              <a16:creationId xmlns:a16="http://schemas.microsoft.com/office/drawing/2014/main" id="{E15AF937-5DD9-16C2-C7F2-ED895E2845A3}"/>
            </a:ext>
          </a:extLst>
        </xdr:cNvPr>
        <xdr:cNvSpPr/>
      </xdr:nvSpPr>
      <xdr:spPr>
        <a:xfrm>
          <a:off x="400532" y="7989929"/>
          <a:ext cx="7844297" cy="3121446"/>
        </a:xfrm>
        <a:prstGeom prst="roundRect">
          <a:avLst/>
        </a:prstGeom>
        <a:solidFill>
          <a:schemeClr val="bg1"/>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478477</xdr:colOff>
      <xdr:row>43</xdr:row>
      <xdr:rowOff>898</xdr:rowOff>
    </xdr:from>
    <xdr:to>
      <xdr:col>13</xdr:col>
      <xdr:colOff>69017</xdr:colOff>
      <xdr:row>57</xdr:row>
      <xdr:rowOff>150815</xdr:rowOff>
    </xdr:to>
    <xdr:graphicFrame macro="">
      <xdr:nvGraphicFramePr>
        <xdr:cNvPr id="65" name="Chart 64">
          <a:extLst>
            <a:ext uri="{FF2B5EF4-FFF2-40B4-BE49-F238E27FC236}">
              <a16:creationId xmlns:a16="http://schemas.microsoft.com/office/drawing/2014/main" id="{5A286411-559E-4EDE-9A5C-A0675D939A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284602</xdr:colOff>
      <xdr:row>26</xdr:row>
      <xdr:rowOff>64265</xdr:rowOff>
    </xdr:from>
    <xdr:to>
      <xdr:col>23</xdr:col>
      <xdr:colOff>422313</xdr:colOff>
      <xdr:row>41</xdr:row>
      <xdr:rowOff>119349</xdr:rowOff>
    </xdr:to>
    <xdr:sp macro="" textlink="">
      <xdr:nvSpPr>
        <xdr:cNvPr id="75" name="Rectangle: Rounded Corners 74">
          <a:extLst>
            <a:ext uri="{FF2B5EF4-FFF2-40B4-BE49-F238E27FC236}">
              <a16:creationId xmlns:a16="http://schemas.microsoft.com/office/drawing/2014/main" id="{182A5486-6399-883A-474C-7D71379E289A}"/>
            </a:ext>
          </a:extLst>
        </xdr:cNvPr>
        <xdr:cNvSpPr/>
      </xdr:nvSpPr>
      <xdr:spPr>
        <a:xfrm>
          <a:off x="9979445" y="5324819"/>
          <a:ext cx="4379205" cy="2809301"/>
        </a:xfrm>
        <a:prstGeom prst="roundRect">
          <a:avLst/>
        </a:prstGeom>
        <a:solidFill>
          <a:schemeClr val="bg1"/>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11</xdr:col>
      <xdr:colOff>468640</xdr:colOff>
      <xdr:row>0</xdr:row>
      <xdr:rowOff>211504</xdr:rowOff>
    </xdr:from>
    <xdr:to>
      <xdr:col>14</xdr:col>
      <xdr:colOff>179080</xdr:colOff>
      <xdr:row>3</xdr:row>
      <xdr:rowOff>115831</xdr:rowOff>
    </xdr:to>
    <mc:AlternateContent xmlns:mc="http://schemas.openxmlformats.org/markup-compatibility/2006" xmlns:a14="http://schemas.microsoft.com/office/drawing/2010/main">
      <mc:Choice Requires="a14">
        <xdr:graphicFrame macro="">
          <xdr:nvGraphicFramePr>
            <xdr:cNvPr id="91" name="Hotel_Type 1">
              <a:extLst>
                <a:ext uri="{FF2B5EF4-FFF2-40B4-BE49-F238E27FC236}">
                  <a16:creationId xmlns:a16="http://schemas.microsoft.com/office/drawing/2014/main" id="{202F71D4-C0D9-4591-A4CF-7734E58C9CB8}"/>
                </a:ext>
              </a:extLst>
            </xdr:cNvPr>
            <xdr:cNvGraphicFramePr/>
          </xdr:nvGraphicFramePr>
          <xdr:xfrm>
            <a:off x="0" y="0"/>
            <a:ext cx="0" cy="0"/>
          </xdr:xfrm>
          <a:graphic>
            <a:graphicData uri="http://schemas.microsoft.com/office/drawing/2010/slicer">
              <sle:slicer xmlns:sle="http://schemas.microsoft.com/office/drawing/2010/slicer" name="Hotel_Type 1"/>
            </a:graphicData>
          </a:graphic>
        </xdr:graphicFrame>
      </mc:Choice>
      <mc:Fallback xmlns="">
        <xdr:sp macro="" textlink="">
          <xdr:nvSpPr>
            <xdr:cNvPr id="0" name=""/>
            <xdr:cNvSpPr>
              <a:spLocks noTextEdit="1"/>
            </xdr:cNvSpPr>
          </xdr:nvSpPr>
          <xdr:spPr>
            <a:xfrm>
              <a:off x="7143196" y="211504"/>
              <a:ext cx="1530773" cy="948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440675</xdr:colOff>
      <xdr:row>27</xdr:row>
      <xdr:rowOff>36724</xdr:rowOff>
    </xdr:from>
    <xdr:to>
      <xdr:col>23</xdr:col>
      <xdr:colOff>275422</xdr:colOff>
      <xdr:row>41</xdr:row>
      <xdr:rowOff>110170</xdr:rowOff>
    </xdr:to>
    <xdr:graphicFrame macro="">
      <xdr:nvGraphicFramePr>
        <xdr:cNvPr id="77" name="Chart 76">
          <a:extLst>
            <a:ext uri="{FF2B5EF4-FFF2-40B4-BE49-F238E27FC236}">
              <a16:creationId xmlns:a16="http://schemas.microsoft.com/office/drawing/2014/main" id="{95966C23-BCA1-4EAB-9580-5928C6203F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266241</xdr:colOff>
      <xdr:row>42</xdr:row>
      <xdr:rowOff>82626</xdr:rowOff>
    </xdr:from>
    <xdr:to>
      <xdr:col>23</xdr:col>
      <xdr:colOff>403953</xdr:colOff>
      <xdr:row>58</xdr:row>
      <xdr:rowOff>119349</xdr:rowOff>
    </xdr:to>
    <xdr:sp macro="" textlink="">
      <xdr:nvSpPr>
        <xdr:cNvPr id="79" name="Rectangle: Rounded Corners 78">
          <a:extLst>
            <a:ext uri="{FF2B5EF4-FFF2-40B4-BE49-F238E27FC236}">
              <a16:creationId xmlns:a16="http://schemas.microsoft.com/office/drawing/2014/main" id="{066D71D4-B850-CEED-DCAB-D257D7783766}"/>
            </a:ext>
          </a:extLst>
        </xdr:cNvPr>
        <xdr:cNvSpPr/>
      </xdr:nvSpPr>
      <xdr:spPr>
        <a:xfrm>
          <a:off x="9355157" y="8281012"/>
          <a:ext cx="4985133" cy="2974554"/>
        </a:xfrm>
        <a:prstGeom prst="roundRect">
          <a:avLst/>
        </a:prstGeom>
        <a:solidFill>
          <a:schemeClr val="bg1"/>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459036</xdr:colOff>
      <xdr:row>42</xdr:row>
      <xdr:rowOff>174434</xdr:rowOff>
    </xdr:from>
    <xdr:to>
      <xdr:col>23</xdr:col>
      <xdr:colOff>183615</xdr:colOff>
      <xdr:row>57</xdr:row>
      <xdr:rowOff>163418</xdr:rowOff>
    </xdr:to>
    <xdr:graphicFrame macro="">
      <xdr:nvGraphicFramePr>
        <xdr:cNvPr id="81" name="Chart 80">
          <a:extLst>
            <a:ext uri="{FF2B5EF4-FFF2-40B4-BE49-F238E27FC236}">
              <a16:creationId xmlns:a16="http://schemas.microsoft.com/office/drawing/2014/main" id="{1904100F-40A1-4EEC-9358-B0EE0AF62B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14</xdr:col>
      <xdr:colOff>282037</xdr:colOff>
      <xdr:row>0</xdr:row>
      <xdr:rowOff>222710</xdr:rowOff>
    </xdr:from>
    <xdr:to>
      <xdr:col>17</xdr:col>
      <xdr:colOff>238405</xdr:colOff>
      <xdr:row>3</xdr:row>
      <xdr:rowOff>134657</xdr:rowOff>
    </xdr:to>
    <mc:AlternateContent xmlns:mc="http://schemas.openxmlformats.org/markup-compatibility/2006" xmlns:a14="http://schemas.microsoft.com/office/drawing/2010/main">
      <mc:Choice Requires="a14">
        <xdr:graphicFrame macro="">
          <xdr:nvGraphicFramePr>
            <xdr:cNvPr id="92" name="Room_Type 1">
              <a:extLst>
                <a:ext uri="{FF2B5EF4-FFF2-40B4-BE49-F238E27FC236}">
                  <a16:creationId xmlns:a16="http://schemas.microsoft.com/office/drawing/2014/main" id="{84CB6F82-D1B8-4699-96A6-F17583EEF477}"/>
                </a:ext>
              </a:extLst>
            </xdr:cNvPr>
            <xdr:cNvGraphicFramePr/>
          </xdr:nvGraphicFramePr>
          <xdr:xfrm>
            <a:off x="0" y="0"/>
            <a:ext cx="0" cy="0"/>
          </xdr:xfrm>
          <a:graphic>
            <a:graphicData uri="http://schemas.microsoft.com/office/drawing/2010/slicer">
              <sle:slicer xmlns:sle="http://schemas.microsoft.com/office/drawing/2010/slicer" name="Room_Type 1"/>
            </a:graphicData>
          </a:graphic>
        </xdr:graphicFrame>
      </mc:Choice>
      <mc:Fallback xmlns="">
        <xdr:sp macro="" textlink="">
          <xdr:nvSpPr>
            <xdr:cNvPr id="0" name=""/>
            <xdr:cNvSpPr>
              <a:spLocks noTextEdit="1"/>
            </xdr:cNvSpPr>
          </xdr:nvSpPr>
          <xdr:spPr>
            <a:xfrm>
              <a:off x="8776926" y="222710"/>
              <a:ext cx="1776701" cy="9561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343951</xdr:colOff>
      <xdr:row>0</xdr:row>
      <xdr:rowOff>222546</xdr:rowOff>
    </xdr:from>
    <xdr:to>
      <xdr:col>20</xdr:col>
      <xdr:colOff>332662</xdr:colOff>
      <xdr:row>3</xdr:row>
      <xdr:rowOff>152052</xdr:rowOff>
    </xdr:to>
    <mc:AlternateContent xmlns:mc="http://schemas.openxmlformats.org/markup-compatibility/2006" xmlns:a14="http://schemas.microsoft.com/office/drawing/2010/main">
      <mc:Choice Requires="a14">
        <xdr:graphicFrame macro="">
          <xdr:nvGraphicFramePr>
            <xdr:cNvPr id="93" name="Booking_Status 1">
              <a:extLst>
                <a:ext uri="{FF2B5EF4-FFF2-40B4-BE49-F238E27FC236}">
                  <a16:creationId xmlns:a16="http://schemas.microsoft.com/office/drawing/2014/main" id="{D44ED56D-6E87-4B20-9E0C-EB9A19FBDE71}"/>
                </a:ext>
              </a:extLst>
            </xdr:cNvPr>
            <xdr:cNvGraphicFramePr/>
          </xdr:nvGraphicFramePr>
          <xdr:xfrm>
            <a:off x="0" y="0"/>
            <a:ext cx="0" cy="0"/>
          </xdr:xfrm>
          <a:graphic>
            <a:graphicData uri="http://schemas.microsoft.com/office/drawing/2010/slicer">
              <sle:slicer xmlns:sle="http://schemas.microsoft.com/office/drawing/2010/slicer" name="Booking_Status 1"/>
            </a:graphicData>
          </a:graphic>
        </xdr:graphicFrame>
      </mc:Choice>
      <mc:Fallback xmlns="">
        <xdr:sp macro="" textlink="">
          <xdr:nvSpPr>
            <xdr:cNvPr id="0" name=""/>
            <xdr:cNvSpPr>
              <a:spLocks noTextEdit="1"/>
            </xdr:cNvSpPr>
          </xdr:nvSpPr>
          <xdr:spPr>
            <a:xfrm>
              <a:off x="10659173" y="222546"/>
              <a:ext cx="1809045" cy="9737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460655</xdr:colOff>
      <xdr:row>0</xdr:row>
      <xdr:rowOff>270192</xdr:rowOff>
    </xdr:from>
    <xdr:to>
      <xdr:col>23</xdr:col>
      <xdr:colOff>460655</xdr:colOff>
      <xdr:row>3</xdr:row>
      <xdr:rowOff>177906</xdr:rowOff>
    </xdr:to>
    <mc:AlternateContent xmlns:mc="http://schemas.openxmlformats.org/markup-compatibility/2006" xmlns:a14="http://schemas.microsoft.com/office/drawing/2010/main">
      <mc:Choice Requires="a14">
        <xdr:graphicFrame macro="">
          <xdr:nvGraphicFramePr>
            <xdr:cNvPr id="94" name="Rating 1">
              <a:extLst>
                <a:ext uri="{FF2B5EF4-FFF2-40B4-BE49-F238E27FC236}">
                  <a16:creationId xmlns:a16="http://schemas.microsoft.com/office/drawing/2014/main" id="{91BE5C0C-D87D-4D97-832B-E950D9BAAD8B}"/>
                </a:ext>
              </a:extLst>
            </xdr:cNvPr>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mlns="">
        <xdr:sp macro="" textlink="">
          <xdr:nvSpPr>
            <xdr:cNvPr id="0" name=""/>
            <xdr:cNvSpPr>
              <a:spLocks noTextEdit="1"/>
            </xdr:cNvSpPr>
          </xdr:nvSpPr>
          <xdr:spPr>
            <a:xfrm>
              <a:off x="12596211" y="270192"/>
              <a:ext cx="1820333" cy="9519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37.728858449074" createdVersion="8" refreshedVersion="8" minRefreshableVersion="3" recordCount="200" xr:uid="{36DD4FCF-4E63-4116-8EEC-BCCC6528C918}">
  <cacheSource type="worksheet">
    <worksheetSource ref="A1:M201" sheet="Data"/>
  </cacheSource>
  <cacheFields count="15">
    <cacheField name="Booking_ID" numFmtId="0">
      <sharedItems/>
    </cacheField>
    <cacheField name="Hotel_Type" numFmtId="0">
      <sharedItems count="2">
        <s v="Resort Hotel"/>
        <s v="City Hotel"/>
      </sharedItems>
    </cacheField>
    <cacheField name="Room_Type" numFmtId="0">
      <sharedItems count="4">
        <s v="Suite"/>
        <s v="Standard"/>
        <s v="Deluxe"/>
        <s v="Executive"/>
      </sharedItems>
    </cacheField>
    <cacheField name="Adults" numFmtId="0">
      <sharedItems containsSemiMixedTypes="0" containsString="0" containsNumber="1" containsInteger="1" minValue="1" maxValue="4"/>
    </cacheField>
    <cacheField name="Children" numFmtId="0">
      <sharedItems containsSemiMixedTypes="0" containsString="0" containsNumber="1" containsInteger="1" minValue="0" maxValue="3"/>
    </cacheField>
    <cacheField name="Room_Rate" numFmtId="0">
      <sharedItems containsSemiMixedTypes="0" containsString="0" containsNumber="1" containsInteger="1" minValue="2615" maxValue="11993"/>
    </cacheField>
    <cacheField name="Check_In_Date" numFmtId="164">
      <sharedItems containsSemiMixedTypes="0" containsNonDate="0" containsDate="1" containsString="0" minDate="2025-01-01T00:00:00" maxDate="2026-01-01T00:00:00" count="155">
        <d v="2025-08-10T00:00:00"/>
        <d v="2025-09-30T00:00:00"/>
        <d v="2025-10-29T00:00:00"/>
        <d v="2025-03-01T00:00:00"/>
        <d v="2025-01-19T00:00:00"/>
        <d v="2025-02-07T00:00:00"/>
        <d v="2025-06-26T00:00:00"/>
        <d v="2025-05-16T00:00:00"/>
        <d v="2025-05-24T00:00:00"/>
        <d v="2025-10-08T00:00:00"/>
        <d v="2025-08-29T00:00:00"/>
        <d v="2025-07-28T00:00:00"/>
        <d v="2025-11-11T00:00:00"/>
        <d v="2025-12-30T00:00:00"/>
        <d v="2025-10-15T00:00:00"/>
        <d v="2025-07-21T00:00:00"/>
        <d v="2025-11-20T00:00:00"/>
        <d v="2025-03-15T00:00:00"/>
        <d v="2025-05-22T00:00:00"/>
        <d v="2025-04-30T00:00:00"/>
        <d v="2025-08-05T00:00:00"/>
        <d v="2025-02-19T00:00:00"/>
        <d v="2025-11-16T00:00:00"/>
        <d v="2025-09-05T00:00:00"/>
        <d v="2025-08-30T00:00:00"/>
        <d v="2025-05-29T00:00:00"/>
        <d v="2025-03-23T00:00:00"/>
        <d v="2025-01-28T00:00:00"/>
        <d v="2025-08-23T00:00:00"/>
        <d v="2025-03-04T00:00:00"/>
        <d v="2025-12-31T00:00:00"/>
        <d v="2025-12-10T00:00:00"/>
        <d v="2025-07-05T00:00:00"/>
        <d v="2025-04-19T00:00:00"/>
        <d v="2025-05-15T00:00:00"/>
        <d v="2025-06-22T00:00:00"/>
        <d v="2025-06-07T00:00:00"/>
        <d v="2025-01-08T00:00:00"/>
        <d v="2025-09-18T00:00:00"/>
        <d v="2025-05-10T00:00:00"/>
        <d v="2025-08-11T00:00:00"/>
        <d v="2025-10-24T00:00:00"/>
        <d v="2025-04-21T00:00:00"/>
        <d v="2025-02-03T00:00:00"/>
        <d v="2025-02-28T00:00:00"/>
        <d v="2025-01-24T00:00:00"/>
        <d v="2025-11-19T00:00:00"/>
        <d v="2025-10-14T00:00:00"/>
        <d v="2025-10-21T00:00:00"/>
        <d v="2025-05-18T00:00:00"/>
        <d v="2025-08-13T00:00:00"/>
        <d v="2025-01-17T00:00:00"/>
        <d v="2025-12-09T00:00:00"/>
        <d v="2025-04-03T00:00:00"/>
        <d v="2025-07-23T00:00:00"/>
        <d v="2025-07-27T00:00:00"/>
        <d v="2025-02-22T00:00:00"/>
        <d v="2025-11-22T00:00:00"/>
        <d v="2025-08-31T00:00:00"/>
        <d v="2025-08-04T00:00:00"/>
        <d v="2025-09-17T00:00:00"/>
        <d v="2025-09-25T00:00:00"/>
        <d v="2025-11-02T00:00:00"/>
        <d v="2025-06-11T00:00:00"/>
        <d v="2025-06-09T00:00:00"/>
        <d v="2025-02-17T00:00:00"/>
        <d v="2025-01-16T00:00:00"/>
        <d v="2025-10-07T00:00:00"/>
        <d v="2025-12-17T00:00:00"/>
        <d v="2025-08-21T00:00:00"/>
        <d v="2025-02-16T00:00:00"/>
        <d v="2025-09-27T00:00:00"/>
        <d v="2025-04-18T00:00:00"/>
        <d v="2025-05-12T00:00:00"/>
        <d v="2025-10-22T00:00:00"/>
        <d v="2025-12-04T00:00:00"/>
        <d v="2025-07-11T00:00:00"/>
        <d v="2025-09-22T00:00:00"/>
        <d v="2025-11-28T00:00:00"/>
        <d v="2025-03-21T00:00:00"/>
        <d v="2025-06-04T00:00:00"/>
        <d v="2025-01-25T00:00:00"/>
        <d v="2025-07-19T00:00:00"/>
        <d v="2025-07-29T00:00:00"/>
        <d v="2025-02-14T00:00:00"/>
        <d v="2025-02-01T00:00:00"/>
        <d v="2025-01-30T00:00:00"/>
        <d v="2025-09-04T00:00:00"/>
        <d v="2025-12-08T00:00:00"/>
        <d v="2025-12-12T00:00:00"/>
        <d v="2025-12-16T00:00:00"/>
        <d v="2025-01-31T00:00:00"/>
        <d v="2025-01-15T00:00:00"/>
        <d v="2025-01-12T00:00:00"/>
        <d v="2025-12-26T00:00:00"/>
        <d v="2025-01-02T00:00:00"/>
        <d v="2025-04-02T00:00:00"/>
        <d v="2025-11-07T00:00:00"/>
        <d v="2025-07-09T00:00:00"/>
        <d v="2025-11-25T00:00:00"/>
        <d v="2025-07-04T00:00:00"/>
        <d v="2025-09-19T00:00:00"/>
        <d v="2025-05-02T00:00:00"/>
        <d v="2025-11-08T00:00:00"/>
        <d v="2025-10-02T00:00:00"/>
        <d v="2025-07-13T00:00:00"/>
        <d v="2025-06-25T00:00:00"/>
        <d v="2025-04-26T00:00:00"/>
        <d v="2025-01-13T00:00:00"/>
        <d v="2025-04-25T00:00:00"/>
        <d v="2025-06-16T00:00:00"/>
        <d v="2025-01-01T00:00:00"/>
        <d v="2025-03-02T00:00:00"/>
        <d v="2025-06-27T00:00:00"/>
        <d v="2025-08-17T00:00:00"/>
        <d v="2025-10-03T00:00:00"/>
        <d v="2025-08-06T00:00:00"/>
        <d v="2025-09-11T00:00:00"/>
        <d v="2025-10-16T00:00:00"/>
        <d v="2025-03-10T00:00:00"/>
        <d v="2025-09-29T00:00:00"/>
        <d v="2025-05-23T00:00:00"/>
        <d v="2025-07-03T00:00:00"/>
        <d v="2025-05-27T00:00:00"/>
        <d v="2025-04-15T00:00:00"/>
        <d v="2025-03-07T00:00:00"/>
        <d v="2025-06-10T00:00:00"/>
        <d v="2025-09-21T00:00:00"/>
        <d v="2025-07-14T00:00:00"/>
        <d v="2025-09-02T00:00:00"/>
        <d v="2025-08-02T00:00:00"/>
        <d v="2025-08-12T00:00:00"/>
        <d v="2025-06-05T00:00:00"/>
        <d v="2025-08-03T00:00:00"/>
        <d v="2025-05-08T00:00:00"/>
        <d v="2025-04-09T00:00:00"/>
        <d v="2025-07-20T00:00:00"/>
        <d v="2025-05-09T00:00:00"/>
        <d v="2025-05-25T00:00:00"/>
        <d v="2025-12-22T00:00:00"/>
        <d v="2025-08-09T00:00:00"/>
        <d v="2025-11-06T00:00:00"/>
        <d v="2025-04-08T00:00:00"/>
        <d v="2025-03-09T00:00:00"/>
        <d v="2025-06-13T00:00:00"/>
        <d v="2025-03-16T00:00:00"/>
        <d v="2025-06-21T00:00:00"/>
        <d v="2025-09-07T00:00:00"/>
        <d v="2025-08-08T00:00:00"/>
        <d v="2025-10-11T00:00:00"/>
        <d v="2025-09-08T00:00:00"/>
        <d v="2025-12-02T00:00:00"/>
        <d v="2025-11-13T00:00:00"/>
        <d v="2025-12-06T00:00:00"/>
        <d v="2025-04-29T00:00:00"/>
      </sharedItems>
      <fieldGroup par="14"/>
    </cacheField>
    <cacheField name="Check_Out_Date" numFmtId="164">
      <sharedItems containsSemiMixedTypes="0" containsNonDate="0" containsDate="1" containsString="0" minDate="2025-01-03T00:00:00" maxDate="2026-01-07T00:00:00"/>
    </cacheField>
    <cacheField name="Booking_Status" numFmtId="0">
      <sharedItems count="4">
        <s v="Cancelled"/>
        <s v="Checked Out"/>
        <s v="Confirmed"/>
        <s v="No Show"/>
      </sharedItems>
    </cacheField>
    <cacheField name="Rating" numFmtId="0">
      <sharedItems containsSemiMixedTypes="0" containsString="0" containsNumber="1" containsInteger="1" minValue="1" maxValue="5" count="5">
        <n v="5"/>
        <n v="4"/>
        <n v="2"/>
        <n v="3"/>
        <n v="1"/>
      </sharedItems>
    </cacheField>
    <cacheField name="Night Stayed" numFmtId="0">
      <sharedItems containsSemiMixedTypes="0" containsString="0" containsNumber="1" containsInteger="1" minValue="1" maxValue="7"/>
    </cacheField>
    <cacheField name="Total Bill" numFmtId="0">
      <sharedItems containsSemiMixedTypes="0" containsString="0" containsNumber="1" containsInteger="1" minValue="4539" maxValue="83951"/>
    </cacheField>
    <cacheField name="Check-In-Month" numFmtId="0">
      <sharedItems/>
    </cacheField>
    <cacheField name="Days (Check_In_Date)" numFmtId="0" databaseField="0">
      <fieldGroup base="6">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Check_In_Date)" numFmtId="0" databaseField="0">
      <fieldGroup base="6">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1315618451"/>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HB1001"/>
    <x v="0"/>
    <x v="0"/>
    <n v="3"/>
    <n v="0"/>
    <n v="5301"/>
    <x v="0"/>
    <d v="2025-08-17T00:00:00"/>
    <x v="0"/>
    <x v="0"/>
    <n v="7"/>
    <n v="37107"/>
    <s v="Aug"/>
  </r>
  <r>
    <s v="HB1002"/>
    <x v="0"/>
    <x v="1"/>
    <n v="1"/>
    <n v="0"/>
    <n v="7740"/>
    <x v="1"/>
    <d v="2025-10-01T00:00:00"/>
    <x v="0"/>
    <x v="1"/>
    <n v="1"/>
    <n v="7740"/>
    <s v="Sep"/>
  </r>
  <r>
    <s v="HB1003"/>
    <x v="1"/>
    <x v="2"/>
    <n v="1"/>
    <n v="2"/>
    <n v="10396"/>
    <x v="2"/>
    <d v="2025-10-31T00:00:00"/>
    <x v="1"/>
    <x v="1"/>
    <n v="2"/>
    <n v="20792"/>
    <s v="Oct"/>
  </r>
  <r>
    <s v="HB1004"/>
    <x v="1"/>
    <x v="0"/>
    <n v="2"/>
    <n v="0"/>
    <n v="10053"/>
    <x v="3"/>
    <d v="2025-03-04T00:00:00"/>
    <x v="2"/>
    <x v="1"/>
    <n v="3"/>
    <n v="30159"/>
    <s v="Mar"/>
  </r>
  <r>
    <s v="HB1005"/>
    <x v="1"/>
    <x v="0"/>
    <n v="1"/>
    <n v="1"/>
    <n v="11859"/>
    <x v="4"/>
    <d v="2025-01-21T00:00:00"/>
    <x v="3"/>
    <x v="2"/>
    <n v="2"/>
    <n v="23718"/>
    <s v="Jan"/>
  </r>
  <r>
    <s v="HB1006"/>
    <x v="1"/>
    <x v="1"/>
    <n v="3"/>
    <n v="3"/>
    <n v="4111"/>
    <x v="5"/>
    <d v="2025-02-14T00:00:00"/>
    <x v="1"/>
    <x v="1"/>
    <n v="7"/>
    <n v="28777"/>
    <s v="Feb"/>
  </r>
  <r>
    <s v="HB1007"/>
    <x v="0"/>
    <x v="1"/>
    <n v="2"/>
    <n v="0"/>
    <n v="9174"/>
    <x v="6"/>
    <d v="2025-07-03T00:00:00"/>
    <x v="1"/>
    <x v="0"/>
    <n v="7"/>
    <n v="64218"/>
    <s v="Jun"/>
  </r>
  <r>
    <s v="HB1008"/>
    <x v="1"/>
    <x v="1"/>
    <n v="1"/>
    <n v="1"/>
    <n v="7760"/>
    <x v="7"/>
    <d v="2025-05-19T00:00:00"/>
    <x v="0"/>
    <x v="2"/>
    <n v="3"/>
    <n v="23280"/>
    <s v="May"/>
  </r>
  <r>
    <s v="HB1009"/>
    <x v="0"/>
    <x v="2"/>
    <n v="3"/>
    <n v="0"/>
    <n v="6555"/>
    <x v="8"/>
    <d v="2025-05-29T00:00:00"/>
    <x v="3"/>
    <x v="2"/>
    <n v="5"/>
    <n v="32775"/>
    <s v="May"/>
  </r>
  <r>
    <s v="HB1010"/>
    <x v="1"/>
    <x v="2"/>
    <n v="4"/>
    <n v="3"/>
    <n v="3705"/>
    <x v="9"/>
    <d v="2025-10-15T00:00:00"/>
    <x v="0"/>
    <x v="2"/>
    <n v="7"/>
    <n v="25935"/>
    <s v="Oct"/>
  </r>
  <r>
    <s v="HB1011"/>
    <x v="0"/>
    <x v="3"/>
    <n v="2"/>
    <n v="1"/>
    <n v="6343"/>
    <x v="10"/>
    <d v="2025-08-31T00:00:00"/>
    <x v="3"/>
    <x v="1"/>
    <n v="2"/>
    <n v="12686"/>
    <s v="Aug"/>
  </r>
  <r>
    <s v="HB1012"/>
    <x v="0"/>
    <x v="2"/>
    <n v="3"/>
    <n v="2"/>
    <n v="4110"/>
    <x v="11"/>
    <d v="2025-07-30T00:00:00"/>
    <x v="1"/>
    <x v="1"/>
    <n v="2"/>
    <n v="8220"/>
    <s v="Jul"/>
  </r>
  <r>
    <s v="HB1013"/>
    <x v="1"/>
    <x v="0"/>
    <n v="3"/>
    <n v="3"/>
    <n v="8833"/>
    <x v="12"/>
    <d v="2025-11-15T00:00:00"/>
    <x v="2"/>
    <x v="0"/>
    <n v="4"/>
    <n v="35332"/>
    <s v="Nov"/>
  </r>
  <r>
    <s v="HB1014"/>
    <x v="0"/>
    <x v="0"/>
    <n v="3"/>
    <n v="2"/>
    <n v="5082"/>
    <x v="13"/>
    <d v="2026-01-06T00:00:00"/>
    <x v="2"/>
    <x v="1"/>
    <n v="7"/>
    <n v="35574"/>
    <s v="Dec"/>
  </r>
  <r>
    <s v="HB1015"/>
    <x v="0"/>
    <x v="1"/>
    <n v="1"/>
    <n v="1"/>
    <n v="4391"/>
    <x v="14"/>
    <d v="2025-10-18T00:00:00"/>
    <x v="1"/>
    <x v="2"/>
    <n v="3"/>
    <n v="13173"/>
    <s v="Oct"/>
  </r>
  <r>
    <s v="HB1016"/>
    <x v="1"/>
    <x v="0"/>
    <n v="2"/>
    <n v="0"/>
    <n v="11554"/>
    <x v="15"/>
    <d v="2025-07-25T00:00:00"/>
    <x v="1"/>
    <x v="3"/>
    <n v="4"/>
    <n v="46216"/>
    <s v="Jul"/>
  </r>
  <r>
    <s v="HB1017"/>
    <x v="1"/>
    <x v="2"/>
    <n v="2"/>
    <n v="3"/>
    <n v="6120"/>
    <x v="16"/>
    <d v="2025-11-21T00:00:00"/>
    <x v="2"/>
    <x v="2"/>
    <n v="1"/>
    <n v="6120"/>
    <s v="Nov"/>
  </r>
  <r>
    <s v="HB1018"/>
    <x v="1"/>
    <x v="1"/>
    <n v="2"/>
    <n v="1"/>
    <n v="7670"/>
    <x v="17"/>
    <d v="2025-03-19T00:00:00"/>
    <x v="1"/>
    <x v="2"/>
    <n v="4"/>
    <n v="30680"/>
    <s v="Mar"/>
  </r>
  <r>
    <s v="HB1019"/>
    <x v="1"/>
    <x v="1"/>
    <n v="3"/>
    <n v="1"/>
    <n v="10135"/>
    <x v="18"/>
    <d v="2025-05-25T00:00:00"/>
    <x v="1"/>
    <x v="0"/>
    <n v="3"/>
    <n v="30405"/>
    <s v="May"/>
  </r>
  <r>
    <s v="HB1020"/>
    <x v="0"/>
    <x v="2"/>
    <n v="3"/>
    <n v="2"/>
    <n v="7673"/>
    <x v="19"/>
    <d v="2025-05-02T00:00:00"/>
    <x v="2"/>
    <x v="1"/>
    <n v="2"/>
    <n v="15346"/>
    <s v="Apr"/>
  </r>
  <r>
    <s v="HB1021"/>
    <x v="0"/>
    <x v="1"/>
    <n v="3"/>
    <n v="0"/>
    <n v="6893"/>
    <x v="20"/>
    <d v="2025-08-11T00:00:00"/>
    <x v="0"/>
    <x v="3"/>
    <n v="6"/>
    <n v="41358"/>
    <s v="Aug"/>
  </r>
  <r>
    <s v="HB1022"/>
    <x v="0"/>
    <x v="1"/>
    <n v="1"/>
    <n v="2"/>
    <n v="8392"/>
    <x v="21"/>
    <d v="2025-02-24T00:00:00"/>
    <x v="0"/>
    <x v="0"/>
    <n v="5"/>
    <n v="41960"/>
    <s v="Feb"/>
  </r>
  <r>
    <s v="HB1023"/>
    <x v="0"/>
    <x v="0"/>
    <n v="2"/>
    <n v="1"/>
    <n v="8086"/>
    <x v="22"/>
    <d v="2025-11-18T00:00:00"/>
    <x v="3"/>
    <x v="2"/>
    <n v="2"/>
    <n v="16172"/>
    <s v="Nov"/>
  </r>
  <r>
    <s v="HB1024"/>
    <x v="0"/>
    <x v="0"/>
    <n v="3"/>
    <n v="3"/>
    <n v="4895"/>
    <x v="23"/>
    <d v="2025-09-12T00:00:00"/>
    <x v="0"/>
    <x v="4"/>
    <n v="7"/>
    <n v="34265"/>
    <s v="Sep"/>
  </r>
  <r>
    <s v="HB1025"/>
    <x v="0"/>
    <x v="3"/>
    <n v="2"/>
    <n v="0"/>
    <n v="8085"/>
    <x v="24"/>
    <d v="2025-09-06T00:00:00"/>
    <x v="2"/>
    <x v="0"/>
    <n v="7"/>
    <n v="56595"/>
    <s v="Aug"/>
  </r>
  <r>
    <s v="HB1026"/>
    <x v="1"/>
    <x v="2"/>
    <n v="2"/>
    <n v="1"/>
    <n v="9630"/>
    <x v="25"/>
    <d v="2025-05-30T00:00:00"/>
    <x v="0"/>
    <x v="4"/>
    <n v="1"/>
    <n v="9630"/>
    <s v="May"/>
  </r>
  <r>
    <s v="HB1027"/>
    <x v="1"/>
    <x v="1"/>
    <n v="3"/>
    <n v="1"/>
    <n v="8941"/>
    <x v="26"/>
    <d v="2025-03-30T00:00:00"/>
    <x v="0"/>
    <x v="4"/>
    <n v="7"/>
    <n v="62587"/>
    <s v="Mar"/>
  </r>
  <r>
    <s v="HB1028"/>
    <x v="1"/>
    <x v="0"/>
    <n v="3"/>
    <n v="2"/>
    <n v="2615"/>
    <x v="27"/>
    <d v="2025-01-30T00:00:00"/>
    <x v="1"/>
    <x v="0"/>
    <n v="2"/>
    <n v="5230"/>
    <s v="Jan"/>
  </r>
  <r>
    <s v="HB1029"/>
    <x v="1"/>
    <x v="1"/>
    <n v="1"/>
    <n v="2"/>
    <n v="5947"/>
    <x v="28"/>
    <d v="2025-08-29T00:00:00"/>
    <x v="0"/>
    <x v="2"/>
    <n v="6"/>
    <n v="35682"/>
    <s v="Aug"/>
  </r>
  <r>
    <s v="HB1030"/>
    <x v="0"/>
    <x v="2"/>
    <n v="1"/>
    <n v="2"/>
    <n v="10236"/>
    <x v="29"/>
    <d v="2025-03-08T00:00:00"/>
    <x v="3"/>
    <x v="3"/>
    <n v="4"/>
    <n v="40944"/>
    <s v="Mar"/>
  </r>
  <r>
    <s v="HB1031"/>
    <x v="0"/>
    <x v="0"/>
    <n v="3"/>
    <n v="1"/>
    <n v="5014"/>
    <x v="30"/>
    <d v="2026-01-04T00:00:00"/>
    <x v="3"/>
    <x v="3"/>
    <n v="4"/>
    <n v="20056"/>
    <s v="Dec"/>
  </r>
  <r>
    <s v="HB1032"/>
    <x v="0"/>
    <x v="1"/>
    <n v="2"/>
    <n v="3"/>
    <n v="9685"/>
    <x v="31"/>
    <d v="2025-12-15T00:00:00"/>
    <x v="1"/>
    <x v="0"/>
    <n v="5"/>
    <n v="48425"/>
    <s v="Dec"/>
  </r>
  <r>
    <s v="HB1033"/>
    <x v="0"/>
    <x v="1"/>
    <n v="2"/>
    <n v="1"/>
    <n v="8077"/>
    <x v="32"/>
    <d v="2025-07-12T00:00:00"/>
    <x v="2"/>
    <x v="4"/>
    <n v="7"/>
    <n v="56539"/>
    <s v="Jul"/>
  </r>
  <r>
    <s v="HB1034"/>
    <x v="0"/>
    <x v="3"/>
    <n v="2"/>
    <n v="2"/>
    <n v="8877"/>
    <x v="33"/>
    <d v="2025-04-23T00:00:00"/>
    <x v="3"/>
    <x v="2"/>
    <n v="4"/>
    <n v="35508"/>
    <s v="Apr"/>
  </r>
  <r>
    <s v="HB1035"/>
    <x v="1"/>
    <x v="2"/>
    <n v="1"/>
    <n v="0"/>
    <n v="6408"/>
    <x v="19"/>
    <d v="2025-05-04T00:00:00"/>
    <x v="0"/>
    <x v="4"/>
    <n v="4"/>
    <n v="25632"/>
    <s v="Apr"/>
  </r>
  <r>
    <s v="HB1036"/>
    <x v="0"/>
    <x v="2"/>
    <n v="1"/>
    <n v="0"/>
    <n v="7675"/>
    <x v="34"/>
    <d v="2025-05-20T00:00:00"/>
    <x v="1"/>
    <x v="3"/>
    <n v="5"/>
    <n v="38375"/>
    <s v="May"/>
  </r>
  <r>
    <s v="HB1037"/>
    <x v="0"/>
    <x v="3"/>
    <n v="2"/>
    <n v="2"/>
    <n v="6234"/>
    <x v="35"/>
    <d v="2025-06-29T00:00:00"/>
    <x v="2"/>
    <x v="2"/>
    <n v="7"/>
    <n v="43638"/>
    <s v="Jun"/>
  </r>
  <r>
    <s v="HB1038"/>
    <x v="0"/>
    <x v="3"/>
    <n v="4"/>
    <n v="3"/>
    <n v="5251"/>
    <x v="36"/>
    <d v="2025-06-11T00:00:00"/>
    <x v="3"/>
    <x v="2"/>
    <n v="4"/>
    <n v="21004"/>
    <s v="Jun"/>
  </r>
  <r>
    <s v="HB1039"/>
    <x v="1"/>
    <x v="1"/>
    <n v="1"/>
    <n v="1"/>
    <n v="10355"/>
    <x v="37"/>
    <d v="2025-01-12T00:00:00"/>
    <x v="0"/>
    <x v="2"/>
    <n v="4"/>
    <n v="41420"/>
    <s v="Jan"/>
  </r>
  <r>
    <s v="HB1040"/>
    <x v="0"/>
    <x v="2"/>
    <n v="2"/>
    <n v="1"/>
    <n v="5752"/>
    <x v="38"/>
    <d v="2025-09-21T00:00:00"/>
    <x v="3"/>
    <x v="4"/>
    <n v="3"/>
    <n v="17256"/>
    <s v="Sep"/>
  </r>
  <r>
    <s v="HB1041"/>
    <x v="1"/>
    <x v="1"/>
    <n v="4"/>
    <n v="1"/>
    <n v="3281"/>
    <x v="2"/>
    <d v="2025-11-04T00:00:00"/>
    <x v="2"/>
    <x v="4"/>
    <n v="6"/>
    <n v="19686"/>
    <s v="Oct"/>
  </r>
  <r>
    <s v="HB1042"/>
    <x v="1"/>
    <x v="2"/>
    <n v="1"/>
    <n v="0"/>
    <n v="9604"/>
    <x v="39"/>
    <d v="2025-05-16T00:00:00"/>
    <x v="3"/>
    <x v="0"/>
    <n v="6"/>
    <n v="57624"/>
    <s v="May"/>
  </r>
  <r>
    <s v="HB1043"/>
    <x v="0"/>
    <x v="2"/>
    <n v="1"/>
    <n v="2"/>
    <n v="11880"/>
    <x v="4"/>
    <d v="2025-01-23T00:00:00"/>
    <x v="3"/>
    <x v="4"/>
    <n v="4"/>
    <n v="47520"/>
    <s v="Jan"/>
  </r>
  <r>
    <s v="HB1044"/>
    <x v="1"/>
    <x v="0"/>
    <n v="3"/>
    <n v="1"/>
    <n v="4561"/>
    <x v="40"/>
    <d v="2025-08-13T00:00:00"/>
    <x v="3"/>
    <x v="1"/>
    <n v="2"/>
    <n v="9122"/>
    <s v="Aug"/>
  </r>
  <r>
    <s v="HB1045"/>
    <x v="1"/>
    <x v="1"/>
    <n v="4"/>
    <n v="0"/>
    <n v="8060"/>
    <x v="41"/>
    <d v="2025-10-31T00:00:00"/>
    <x v="1"/>
    <x v="2"/>
    <n v="7"/>
    <n v="56420"/>
    <s v="Oct"/>
  </r>
  <r>
    <s v="HB1046"/>
    <x v="1"/>
    <x v="0"/>
    <n v="3"/>
    <n v="3"/>
    <n v="4567"/>
    <x v="42"/>
    <d v="2025-04-23T00:00:00"/>
    <x v="0"/>
    <x v="2"/>
    <n v="2"/>
    <n v="9134"/>
    <s v="Apr"/>
  </r>
  <r>
    <s v="HB1047"/>
    <x v="1"/>
    <x v="0"/>
    <n v="4"/>
    <n v="2"/>
    <n v="9312"/>
    <x v="43"/>
    <d v="2025-02-08T00:00:00"/>
    <x v="1"/>
    <x v="3"/>
    <n v="5"/>
    <n v="46560"/>
    <s v="Feb"/>
  </r>
  <r>
    <s v="HB1048"/>
    <x v="1"/>
    <x v="0"/>
    <n v="2"/>
    <n v="3"/>
    <n v="7793"/>
    <x v="44"/>
    <d v="2025-03-06T00:00:00"/>
    <x v="1"/>
    <x v="4"/>
    <n v="6"/>
    <n v="46758"/>
    <s v="Feb"/>
  </r>
  <r>
    <s v="HB1049"/>
    <x v="1"/>
    <x v="2"/>
    <n v="1"/>
    <n v="0"/>
    <n v="4539"/>
    <x v="45"/>
    <d v="2025-01-25T00:00:00"/>
    <x v="1"/>
    <x v="0"/>
    <n v="1"/>
    <n v="4539"/>
    <s v="Jan"/>
  </r>
  <r>
    <s v="HB1050"/>
    <x v="1"/>
    <x v="1"/>
    <n v="2"/>
    <n v="1"/>
    <n v="11602"/>
    <x v="46"/>
    <d v="2025-11-22T00:00:00"/>
    <x v="2"/>
    <x v="3"/>
    <n v="3"/>
    <n v="34806"/>
    <s v="Nov"/>
  </r>
  <r>
    <s v="HB1051"/>
    <x v="1"/>
    <x v="3"/>
    <n v="1"/>
    <n v="1"/>
    <n v="2668"/>
    <x v="47"/>
    <d v="2025-10-20T00:00:00"/>
    <x v="2"/>
    <x v="2"/>
    <n v="6"/>
    <n v="16008"/>
    <s v="Oct"/>
  </r>
  <r>
    <s v="HB1052"/>
    <x v="0"/>
    <x v="1"/>
    <n v="1"/>
    <n v="0"/>
    <n v="11970"/>
    <x v="48"/>
    <d v="2025-10-26T00:00:00"/>
    <x v="1"/>
    <x v="0"/>
    <n v="5"/>
    <n v="59850"/>
    <s v="Oct"/>
  </r>
  <r>
    <s v="HB1053"/>
    <x v="1"/>
    <x v="1"/>
    <n v="4"/>
    <n v="0"/>
    <n v="5499"/>
    <x v="49"/>
    <d v="2025-05-19T00:00:00"/>
    <x v="2"/>
    <x v="0"/>
    <n v="1"/>
    <n v="5499"/>
    <s v="May"/>
  </r>
  <r>
    <s v="HB1054"/>
    <x v="1"/>
    <x v="0"/>
    <n v="3"/>
    <n v="0"/>
    <n v="6266"/>
    <x v="50"/>
    <d v="2025-08-19T00:00:00"/>
    <x v="2"/>
    <x v="1"/>
    <n v="6"/>
    <n v="37596"/>
    <s v="Aug"/>
  </r>
  <r>
    <s v="HB1055"/>
    <x v="1"/>
    <x v="2"/>
    <n v="1"/>
    <n v="3"/>
    <n v="11285"/>
    <x v="2"/>
    <d v="2025-11-02T00:00:00"/>
    <x v="1"/>
    <x v="0"/>
    <n v="4"/>
    <n v="45140"/>
    <s v="Oct"/>
  </r>
  <r>
    <s v="HB1056"/>
    <x v="1"/>
    <x v="3"/>
    <n v="2"/>
    <n v="2"/>
    <n v="4293"/>
    <x v="51"/>
    <d v="2025-01-23T00:00:00"/>
    <x v="0"/>
    <x v="0"/>
    <n v="6"/>
    <n v="25758"/>
    <s v="Jan"/>
  </r>
  <r>
    <s v="HB1057"/>
    <x v="0"/>
    <x v="2"/>
    <n v="2"/>
    <n v="3"/>
    <n v="10679"/>
    <x v="52"/>
    <d v="2025-12-14T00:00:00"/>
    <x v="3"/>
    <x v="4"/>
    <n v="5"/>
    <n v="53395"/>
    <s v="Dec"/>
  </r>
  <r>
    <s v="HB1058"/>
    <x v="1"/>
    <x v="0"/>
    <n v="2"/>
    <n v="2"/>
    <n v="10782"/>
    <x v="53"/>
    <d v="2025-04-09T00:00:00"/>
    <x v="3"/>
    <x v="2"/>
    <n v="6"/>
    <n v="64692"/>
    <s v="Apr"/>
  </r>
  <r>
    <s v="HB1059"/>
    <x v="1"/>
    <x v="0"/>
    <n v="2"/>
    <n v="0"/>
    <n v="3144"/>
    <x v="54"/>
    <d v="2025-07-28T00:00:00"/>
    <x v="3"/>
    <x v="1"/>
    <n v="5"/>
    <n v="15720"/>
    <s v="Jul"/>
  </r>
  <r>
    <s v="HB1060"/>
    <x v="0"/>
    <x v="0"/>
    <n v="3"/>
    <n v="3"/>
    <n v="5026"/>
    <x v="55"/>
    <d v="2025-08-02T00:00:00"/>
    <x v="1"/>
    <x v="3"/>
    <n v="6"/>
    <n v="30156"/>
    <s v="Jul"/>
  </r>
  <r>
    <s v="HB1061"/>
    <x v="0"/>
    <x v="1"/>
    <n v="3"/>
    <n v="3"/>
    <n v="3334"/>
    <x v="56"/>
    <d v="2025-02-25T00:00:00"/>
    <x v="3"/>
    <x v="1"/>
    <n v="3"/>
    <n v="10002"/>
    <s v="Feb"/>
  </r>
  <r>
    <s v="HB1062"/>
    <x v="1"/>
    <x v="3"/>
    <n v="2"/>
    <n v="1"/>
    <n v="4568"/>
    <x v="57"/>
    <d v="2025-11-23T00:00:00"/>
    <x v="0"/>
    <x v="3"/>
    <n v="1"/>
    <n v="4568"/>
    <s v="Nov"/>
  </r>
  <r>
    <s v="HB1063"/>
    <x v="0"/>
    <x v="3"/>
    <n v="1"/>
    <n v="1"/>
    <n v="7573"/>
    <x v="51"/>
    <d v="2025-01-20T00:00:00"/>
    <x v="2"/>
    <x v="1"/>
    <n v="3"/>
    <n v="22719"/>
    <s v="Jan"/>
  </r>
  <r>
    <s v="HB1064"/>
    <x v="0"/>
    <x v="3"/>
    <n v="4"/>
    <n v="1"/>
    <n v="9300"/>
    <x v="58"/>
    <d v="2025-09-01T00:00:00"/>
    <x v="0"/>
    <x v="4"/>
    <n v="1"/>
    <n v="9300"/>
    <s v="Aug"/>
  </r>
  <r>
    <s v="HB1065"/>
    <x v="1"/>
    <x v="1"/>
    <n v="1"/>
    <n v="3"/>
    <n v="6686"/>
    <x v="59"/>
    <d v="2025-08-11T00:00:00"/>
    <x v="1"/>
    <x v="2"/>
    <n v="7"/>
    <n v="46802"/>
    <s v="Aug"/>
  </r>
  <r>
    <s v="HB1066"/>
    <x v="1"/>
    <x v="2"/>
    <n v="3"/>
    <n v="2"/>
    <n v="3501"/>
    <x v="60"/>
    <d v="2025-09-22T00:00:00"/>
    <x v="1"/>
    <x v="0"/>
    <n v="5"/>
    <n v="17505"/>
    <s v="Sep"/>
  </r>
  <r>
    <s v="HB1067"/>
    <x v="1"/>
    <x v="1"/>
    <n v="3"/>
    <n v="0"/>
    <n v="7816"/>
    <x v="26"/>
    <d v="2025-03-29T00:00:00"/>
    <x v="2"/>
    <x v="1"/>
    <n v="6"/>
    <n v="46896"/>
    <s v="Mar"/>
  </r>
  <r>
    <s v="HB1068"/>
    <x v="1"/>
    <x v="0"/>
    <n v="2"/>
    <n v="1"/>
    <n v="7151"/>
    <x v="61"/>
    <d v="2025-09-27T00:00:00"/>
    <x v="3"/>
    <x v="4"/>
    <n v="2"/>
    <n v="14302"/>
    <s v="Sep"/>
  </r>
  <r>
    <s v="HB1069"/>
    <x v="0"/>
    <x v="0"/>
    <n v="1"/>
    <n v="0"/>
    <n v="5389"/>
    <x v="62"/>
    <d v="2025-11-06T00:00:00"/>
    <x v="2"/>
    <x v="0"/>
    <n v="4"/>
    <n v="21556"/>
    <s v="Nov"/>
  </r>
  <r>
    <s v="HB1070"/>
    <x v="0"/>
    <x v="3"/>
    <n v="2"/>
    <n v="0"/>
    <n v="7159"/>
    <x v="63"/>
    <d v="2025-06-16T00:00:00"/>
    <x v="3"/>
    <x v="1"/>
    <n v="5"/>
    <n v="35795"/>
    <s v="Jun"/>
  </r>
  <r>
    <s v="HB1071"/>
    <x v="1"/>
    <x v="2"/>
    <n v="2"/>
    <n v="1"/>
    <n v="9307"/>
    <x v="64"/>
    <d v="2025-06-13T00:00:00"/>
    <x v="0"/>
    <x v="0"/>
    <n v="4"/>
    <n v="37228"/>
    <s v="Jun"/>
  </r>
  <r>
    <s v="HB1072"/>
    <x v="0"/>
    <x v="2"/>
    <n v="1"/>
    <n v="2"/>
    <n v="7264"/>
    <x v="65"/>
    <d v="2025-02-20T00:00:00"/>
    <x v="0"/>
    <x v="4"/>
    <n v="3"/>
    <n v="21792"/>
    <s v="Feb"/>
  </r>
  <r>
    <s v="HB1073"/>
    <x v="1"/>
    <x v="2"/>
    <n v="1"/>
    <n v="1"/>
    <n v="8983"/>
    <x v="66"/>
    <d v="2025-01-18T00:00:00"/>
    <x v="1"/>
    <x v="3"/>
    <n v="2"/>
    <n v="17966"/>
    <s v="Jan"/>
  </r>
  <r>
    <s v="HB1074"/>
    <x v="1"/>
    <x v="2"/>
    <n v="4"/>
    <n v="2"/>
    <n v="9130"/>
    <x v="36"/>
    <d v="2025-06-12T00:00:00"/>
    <x v="1"/>
    <x v="2"/>
    <n v="5"/>
    <n v="45650"/>
    <s v="Jun"/>
  </r>
  <r>
    <s v="HB1075"/>
    <x v="0"/>
    <x v="1"/>
    <n v="2"/>
    <n v="2"/>
    <n v="9534"/>
    <x v="67"/>
    <d v="2025-10-12T00:00:00"/>
    <x v="3"/>
    <x v="4"/>
    <n v="5"/>
    <n v="47670"/>
    <s v="Oct"/>
  </r>
  <r>
    <s v="HB1076"/>
    <x v="0"/>
    <x v="0"/>
    <n v="2"/>
    <n v="3"/>
    <n v="6247"/>
    <x v="68"/>
    <d v="2025-12-22T00:00:00"/>
    <x v="3"/>
    <x v="1"/>
    <n v="5"/>
    <n v="31235"/>
    <s v="Dec"/>
  </r>
  <r>
    <s v="HB1077"/>
    <x v="0"/>
    <x v="0"/>
    <n v="1"/>
    <n v="2"/>
    <n v="11585"/>
    <x v="15"/>
    <d v="2025-07-24T00:00:00"/>
    <x v="1"/>
    <x v="1"/>
    <n v="3"/>
    <n v="34755"/>
    <s v="Jul"/>
  </r>
  <r>
    <s v="HB1078"/>
    <x v="1"/>
    <x v="0"/>
    <n v="1"/>
    <n v="3"/>
    <n v="8561"/>
    <x v="17"/>
    <d v="2025-03-16T00:00:00"/>
    <x v="1"/>
    <x v="3"/>
    <n v="1"/>
    <n v="8561"/>
    <s v="Mar"/>
  </r>
  <r>
    <s v="HB1079"/>
    <x v="1"/>
    <x v="0"/>
    <n v="3"/>
    <n v="3"/>
    <n v="6278"/>
    <x v="69"/>
    <d v="2025-08-28T00:00:00"/>
    <x v="1"/>
    <x v="0"/>
    <n v="7"/>
    <n v="43946"/>
    <s v="Aug"/>
  </r>
  <r>
    <s v="HB1080"/>
    <x v="1"/>
    <x v="0"/>
    <n v="4"/>
    <n v="3"/>
    <n v="7209"/>
    <x v="70"/>
    <d v="2025-02-18T00:00:00"/>
    <x v="1"/>
    <x v="4"/>
    <n v="2"/>
    <n v="14418"/>
    <s v="Feb"/>
  </r>
  <r>
    <s v="HB1081"/>
    <x v="0"/>
    <x v="1"/>
    <n v="2"/>
    <n v="0"/>
    <n v="6550"/>
    <x v="70"/>
    <d v="2025-02-19T00:00:00"/>
    <x v="3"/>
    <x v="4"/>
    <n v="3"/>
    <n v="19650"/>
    <s v="Feb"/>
  </r>
  <r>
    <s v="HB1082"/>
    <x v="1"/>
    <x v="3"/>
    <n v="2"/>
    <n v="2"/>
    <n v="4558"/>
    <x v="71"/>
    <d v="2025-10-01T00:00:00"/>
    <x v="0"/>
    <x v="4"/>
    <n v="4"/>
    <n v="18232"/>
    <s v="Sep"/>
  </r>
  <r>
    <s v="HB1083"/>
    <x v="1"/>
    <x v="0"/>
    <n v="4"/>
    <n v="0"/>
    <n v="10014"/>
    <x v="72"/>
    <d v="2025-04-23T00:00:00"/>
    <x v="1"/>
    <x v="0"/>
    <n v="5"/>
    <n v="50070"/>
    <s v="Apr"/>
  </r>
  <r>
    <s v="HB1084"/>
    <x v="1"/>
    <x v="0"/>
    <n v="4"/>
    <n v="1"/>
    <n v="9388"/>
    <x v="73"/>
    <d v="2025-05-18T00:00:00"/>
    <x v="3"/>
    <x v="0"/>
    <n v="6"/>
    <n v="56328"/>
    <s v="May"/>
  </r>
  <r>
    <s v="HB1085"/>
    <x v="1"/>
    <x v="1"/>
    <n v="4"/>
    <n v="1"/>
    <n v="7056"/>
    <x v="67"/>
    <d v="2025-10-11T00:00:00"/>
    <x v="2"/>
    <x v="4"/>
    <n v="4"/>
    <n v="28224"/>
    <s v="Oct"/>
  </r>
  <r>
    <s v="HB1086"/>
    <x v="1"/>
    <x v="2"/>
    <n v="3"/>
    <n v="3"/>
    <n v="9017"/>
    <x v="8"/>
    <d v="2025-05-27T00:00:00"/>
    <x v="3"/>
    <x v="0"/>
    <n v="3"/>
    <n v="27051"/>
    <s v="May"/>
  </r>
  <r>
    <s v="HB1087"/>
    <x v="1"/>
    <x v="1"/>
    <n v="1"/>
    <n v="3"/>
    <n v="6779"/>
    <x v="74"/>
    <d v="2025-10-26T00:00:00"/>
    <x v="0"/>
    <x v="0"/>
    <n v="4"/>
    <n v="27116"/>
    <s v="Oct"/>
  </r>
  <r>
    <s v="HB1088"/>
    <x v="1"/>
    <x v="1"/>
    <n v="1"/>
    <n v="2"/>
    <n v="4701"/>
    <x v="75"/>
    <d v="2025-12-10T00:00:00"/>
    <x v="1"/>
    <x v="4"/>
    <n v="6"/>
    <n v="28206"/>
    <s v="Dec"/>
  </r>
  <r>
    <s v="HB1089"/>
    <x v="1"/>
    <x v="0"/>
    <n v="3"/>
    <n v="2"/>
    <n v="9809"/>
    <x v="76"/>
    <d v="2025-07-16T00:00:00"/>
    <x v="0"/>
    <x v="3"/>
    <n v="5"/>
    <n v="49045"/>
    <s v="Jul"/>
  </r>
  <r>
    <s v="HB1090"/>
    <x v="0"/>
    <x v="0"/>
    <n v="2"/>
    <n v="1"/>
    <n v="5845"/>
    <x v="77"/>
    <d v="2025-09-25T00:00:00"/>
    <x v="0"/>
    <x v="2"/>
    <n v="3"/>
    <n v="17535"/>
    <s v="Sep"/>
  </r>
  <r>
    <s v="HB1091"/>
    <x v="0"/>
    <x v="3"/>
    <n v="4"/>
    <n v="0"/>
    <n v="8790"/>
    <x v="78"/>
    <d v="2025-12-05T00:00:00"/>
    <x v="3"/>
    <x v="3"/>
    <n v="7"/>
    <n v="61530"/>
    <s v="Nov"/>
  </r>
  <r>
    <s v="HB1092"/>
    <x v="1"/>
    <x v="2"/>
    <n v="1"/>
    <n v="1"/>
    <n v="9620"/>
    <x v="79"/>
    <d v="2025-03-28T00:00:00"/>
    <x v="1"/>
    <x v="0"/>
    <n v="7"/>
    <n v="67340"/>
    <s v="Mar"/>
  </r>
  <r>
    <s v="HB1093"/>
    <x v="1"/>
    <x v="1"/>
    <n v="1"/>
    <n v="1"/>
    <n v="3937"/>
    <x v="80"/>
    <d v="2025-06-09T00:00:00"/>
    <x v="1"/>
    <x v="2"/>
    <n v="5"/>
    <n v="19685"/>
    <s v="Jun"/>
  </r>
  <r>
    <s v="HB1094"/>
    <x v="1"/>
    <x v="0"/>
    <n v="2"/>
    <n v="3"/>
    <n v="3745"/>
    <x v="81"/>
    <d v="2025-01-28T00:00:00"/>
    <x v="3"/>
    <x v="4"/>
    <n v="3"/>
    <n v="11235"/>
    <s v="Jan"/>
  </r>
  <r>
    <s v="HB1095"/>
    <x v="1"/>
    <x v="3"/>
    <n v="3"/>
    <n v="3"/>
    <n v="11510"/>
    <x v="82"/>
    <d v="2025-07-24T00:00:00"/>
    <x v="2"/>
    <x v="3"/>
    <n v="5"/>
    <n v="57550"/>
    <s v="Jul"/>
  </r>
  <r>
    <s v="HB1096"/>
    <x v="1"/>
    <x v="2"/>
    <n v="2"/>
    <n v="1"/>
    <n v="7860"/>
    <x v="83"/>
    <d v="2025-08-02T00:00:00"/>
    <x v="3"/>
    <x v="1"/>
    <n v="4"/>
    <n v="31440"/>
    <s v="Jul"/>
  </r>
  <r>
    <s v="HB1097"/>
    <x v="1"/>
    <x v="2"/>
    <n v="2"/>
    <n v="0"/>
    <n v="5352"/>
    <x v="84"/>
    <d v="2025-02-15T00:00:00"/>
    <x v="0"/>
    <x v="3"/>
    <n v="1"/>
    <n v="5352"/>
    <s v="Feb"/>
  </r>
  <r>
    <s v="HB1098"/>
    <x v="0"/>
    <x v="0"/>
    <n v="2"/>
    <n v="3"/>
    <n v="8350"/>
    <x v="85"/>
    <d v="2025-02-03T00:00:00"/>
    <x v="1"/>
    <x v="0"/>
    <n v="2"/>
    <n v="16700"/>
    <s v="Feb"/>
  </r>
  <r>
    <s v="HB1099"/>
    <x v="0"/>
    <x v="0"/>
    <n v="3"/>
    <n v="1"/>
    <n v="5079"/>
    <x v="7"/>
    <d v="2025-05-22T00:00:00"/>
    <x v="1"/>
    <x v="2"/>
    <n v="6"/>
    <n v="30474"/>
    <s v="May"/>
  </r>
  <r>
    <s v="HB1100"/>
    <x v="0"/>
    <x v="3"/>
    <n v="4"/>
    <n v="0"/>
    <n v="5279"/>
    <x v="86"/>
    <d v="2025-02-01T00:00:00"/>
    <x v="3"/>
    <x v="1"/>
    <n v="2"/>
    <n v="10558"/>
    <s v="Jan"/>
  </r>
  <r>
    <s v="HB1101"/>
    <x v="1"/>
    <x v="0"/>
    <n v="4"/>
    <n v="2"/>
    <n v="7533"/>
    <x v="87"/>
    <d v="2025-09-05T00:00:00"/>
    <x v="1"/>
    <x v="2"/>
    <n v="1"/>
    <n v="7533"/>
    <s v="Sep"/>
  </r>
  <r>
    <s v="HB1102"/>
    <x v="0"/>
    <x v="3"/>
    <n v="1"/>
    <n v="3"/>
    <n v="7823"/>
    <x v="33"/>
    <d v="2025-04-25T00:00:00"/>
    <x v="2"/>
    <x v="4"/>
    <n v="6"/>
    <n v="46938"/>
    <s v="Apr"/>
  </r>
  <r>
    <s v="HB1103"/>
    <x v="0"/>
    <x v="3"/>
    <n v="3"/>
    <n v="2"/>
    <n v="6341"/>
    <x v="88"/>
    <d v="2025-12-14T00:00:00"/>
    <x v="2"/>
    <x v="0"/>
    <n v="6"/>
    <n v="38046"/>
    <s v="Dec"/>
  </r>
  <r>
    <s v="HB1104"/>
    <x v="0"/>
    <x v="1"/>
    <n v="4"/>
    <n v="2"/>
    <n v="6933"/>
    <x v="89"/>
    <d v="2025-12-13T00:00:00"/>
    <x v="2"/>
    <x v="0"/>
    <n v="1"/>
    <n v="6933"/>
    <s v="Dec"/>
  </r>
  <r>
    <s v="HB1105"/>
    <x v="1"/>
    <x v="1"/>
    <n v="1"/>
    <n v="0"/>
    <n v="6922"/>
    <x v="45"/>
    <d v="2025-01-30T00:00:00"/>
    <x v="1"/>
    <x v="2"/>
    <n v="6"/>
    <n v="41532"/>
    <s v="Jan"/>
  </r>
  <r>
    <s v="HB1106"/>
    <x v="0"/>
    <x v="1"/>
    <n v="3"/>
    <n v="0"/>
    <n v="7520"/>
    <x v="90"/>
    <d v="2025-12-23T00:00:00"/>
    <x v="0"/>
    <x v="0"/>
    <n v="7"/>
    <n v="52640"/>
    <s v="Dec"/>
  </r>
  <r>
    <s v="HB1107"/>
    <x v="1"/>
    <x v="2"/>
    <n v="1"/>
    <n v="0"/>
    <n v="11263"/>
    <x v="66"/>
    <d v="2025-01-17T00:00:00"/>
    <x v="2"/>
    <x v="1"/>
    <n v="1"/>
    <n v="11263"/>
    <s v="Jan"/>
  </r>
  <r>
    <s v="HB1108"/>
    <x v="0"/>
    <x v="2"/>
    <n v="3"/>
    <n v="3"/>
    <n v="8333"/>
    <x v="91"/>
    <d v="2025-02-02T00:00:00"/>
    <x v="0"/>
    <x v="4"/>
    <n v="2"/>
    <n v="16666"/>
    <s v="Jan"/>
  </r>
  <r>
    <s v="HB1109"/>
    <x v="0"/>
    <x v="0"/>
    <n v="4"/>
    <n v="2"/>
    <n v="11458"/>
    <x v="90"/>
    <d v="2025-12-17T00:00:00"/>
    <x v="3"/>
    <x v="4"/>
    <n v="1"/>
    <n v="11458"/>
    <s v="Dec"/>
  </r>
  <r>
    <s v="HB1110"/>
    <x v="0"/>
    <x v="2"/>
    <n v="3"/>
    <n v="0"/>
    <n v="7765"/>
    <x v="92"/>
    <d v="2025-01-22T00:00:00"/>
    <x v="3"/>
    <x v="2"/>
    <n v="7"/>
    <n v="54355"/>
    <s v="Jan"/>
  </r>
  <r>
    <s v="HB1111"/>
    <x v="1"/>
    <x v="1"/>
    <n v="4"/>
    <n v="1"/>
    <n v="9549"/>
    <x v="59"/>
    <d v="2025-08-07T00:00:00"/>
    <x v="1"/>
    <x v="4"/>
    <n v="3"/>
    <n v="28647"/>
    <s v="Aug"/>
  </r>
  <r>
    <s v="HB1112"/>
    <x v="1"/>
    <x v="3"/>
    <n v="2"/>
    <n v="0"/>
    <n v="11021"/>
    <x v="93"/>
    <d v="2025-01-18T00:00:00"/>
    <x v="3"/>
    <x v="4"/>
    <n v="6"/>
    <n v="66126"/>
    <s v="Jan"/>
  </r>
  <r>
    <s v="HB1113"/>
    <x v="0"/>
    <x v="0"/>
    <n v="3"/>
    <n v="2"/>
    <n v="4773"/>
    <x v="94"/>
    <d v="2026-01-02T00:00:00"/>
    <x v="1"/>
    <x v="1"/>
    <n v="7"/>
    <n v="33411"/>
    <s v="Dec"/>
  </r>
  <r>
    <s v="HB1114"/>
    <x v="1"/>
    <x v="1"/>
    <n v="1"/>
    <n v="1"/>
    <n v="2993"/>
    <x v="95"/>
    <d v="2025-01-08T00:00:00"/>
    <x v="1"/>
    <x v="4"/>
    <n v="6"/>
    <n v="17958"/>
    <s v="Jan"/>
  </r>
  <r>
    <s v="HB1115"/>
    <x v="0"/>
    <x v="2"/>
    <n v="3"/>
    <n v="2"/>
    <n v="4856"/>
    <x v="96"/>
    <d v="2025-04-05T00:00:00"/>
    <x v="0"/>
    <x v="1"/>
    <n v="3"/>
    <n v="14568"/>
    <s v="Apr"/>
  </r>
  <r>
    <s v="HB1116"/>
    <x v="1"/>
    <x v="1"/>
    <n v="2"/>
    <n v="0"/>
    <n v="11793"/>
    <x v="97"/>
    <d v="2025-11-10T00:00:00"/>
    <x v="3"/>
    <x v="2"/>
    <n v="3"/>
    <n v="35379"/>
    <s v="Nov"/>
  </r>
  <r>
    <s v="HB1117"/>
    <x v="1"/>
    <x v="0"/>
    <n v="4"/>
    <n v="1"/>
    <n v="10910"/>
    <x v="94"/>
    <d v="2026-01-01T00:00:00"/>
    <x v="0"/>
    <x v="3"/>
    <n v="6"/>
    <n v="65460"/>
    <s v="Dec"/>
  </r>
  <r>
    <s v="HB1118"/>
    <x v="1"/>
    <x v="1"/>
    <n v="3"/>
    <n v="1"/>
    <n v="10235"/>
    <x v="63"/>
    <d v="2025-06-18T00:00:00"/>
    <x v="2"/>
    <x v="0"/>
    <n v="7"/>
    <n v="71645"/>
    <s v="Jun"/>
  </r>
  <r>
    <s v="HB1119"/>
    <x v="1"/>
    <x v="2"/>
    <n v="2"/>
    <n v="3"/>
    <n v="5318"/>
    <x v="98"/>
    <d v="2025-07-15T00:00:00"/>
    <x v="2"/>
    <x v="2"/>
    <n v="6"/>
    <n v="31908"/>
    <s v="Jul"/>
  </r>
  <r>
    <s v="HB1120"/>
    <x v="1"/>
    <x v="0"/>
    <n v="1"/>
    <n v="2"/>
    <n v="5506"/>
    <x v="99"/>
    <d v="2025-12-01T00:00:00"/>
    <x v="2"/>
    <x v="1"/>
    <n v="6"/>
    <n v="33036"/>
    <s v="Nov"/>
  </r>
  <r>
    <s v="HB1121"/>
    <x v="1"/>
    <x v="1"/>
    <n v="2"/>
    <n v="0"/>
    <n v="4461"/>
    <x v="100"/>
    <d v="2025-07-06T00:00:00"/>
    <x v="1"/>
    <x v="0"/>
    <n v="2"/>
    <n v="8922"/>
    <s v="Jul"/>
  </r>
  <r>
    <s v="HB1122"/>
    <x v="1"/>
    <x v="3"/>
    <n v="3"/>
    <n v="2"/>
    <n v="11648"/>
    <x v="1"/>
    <d v="2025-10-04T00:00:00"/>
    <x v="1"/>
    <x v="3"/>
    <n v="4"/>
    <n v="46592"/>
    <s v="Sep"/>
  </r>
  <r>
    <s v="HB1123"/>
    <x v="0"/>
    <x v="3"/>
    <n v="3"/>
    <n v="2"/>
    <n v="10016"/>
    <x v="101"/>
    <d v="2025-09-25T00:00:00"/>
    <x v="0"/>
    <x v="2"/>
    <n v="6"/>
    <n v="60096"/>
    <s v="Sep"/>
  </r>
  <r>
    <s v="HB1124"/>
    <x v="0"/>
    <x v="3"/>
    <n v="1"/>
    <n v="2"/>
    <n v="11952"/>
    <x v="102"/>
    <d v="2025-05-07T00:00:00"/>
    <x v="1"/>
    <x v="1"/>
    <n v="5"/>
    <n v="59760"/>
    <s v="May"/>
  </r>
  <r>
    <s v="HB1125"/>
    <x v="0"/>
    <x v="0"/>
    <n v="2"/>
    <n v="0"/>
    <n v="10867"/>
    <x v="87"/>
    <d v="2025-09-06T00:00:00"/>
    <x v="3"/>
    <x v="3"/>
    <n v="2"/>
    <n v="21734"/>
    <s v="Sep"/>
  </r>
  <r>
    <s v="HB1126"/>
    <x v="1"/>
    <x v="1"/>
    <n v="1"/>
    <n v="3"/>
    <n v="11509"/>
    <x v="103"/>
    <d v="2025-11-11T00:00:00"/>
    <x v="2"/>
    <x v="1"/>
    <n v="3"/>
    <n v="34527"/>
    <s v="Nov"/>
  </r>
  <r>
    <s v="HB1127"/>
    <x v="1"/>
    <x v="0"/>
    <n v="3"/>
    <n v="1"/>
    <n v="7881"/>
    <x v="104"/>
    <d v="2025-10-06T00:00:00"/>
    <x v="0"/>
    <x v="3"/>
    <n v="4"/>
    <n v="31524"/>
    <s v="Oct"/>
  </r>
  <r>
    <s v="HB1128"/>
    <x v="0"/>
    <x v="2"/>
    <n v="4"/>
    <n v="0"/>
    <n v="2744"/>
    <x v="105"/>
    <d v="2025-07-18T00:00:00"/>
    <x v="1"/>
    <x v="3"/>
    <n v="5"/>
    <n v="13720"/>
    <s v="Jul"/>
  </r>
  <r>
    <s v="HB1129"/>
    <x v="0"/>
    <x v="1"/>
    <n v="1"/>
    <n v="0"/>
    <n v="11993"/>
    <x v="106"/>
    <d v="2025-07-02T00:00:00"/>
    <x v="0"/>
    <x v="2"/>
    <n v="7"/>
    <n v="83951"/>
    <s v="Jun"/>
  </r>
  <r>
    <s v="HB1130"/>
    <x v="0"/>
    <x v="1"/>
    <n v="4"/>
    <n v="0"/>
    <n v="5323"/>
    <x v="107"/>
    <d v="2025-04-30T00:00:00"/>
    <x v="1"/>
    <x v="2"/>
    <n v="4"/>
    <n v="21292"/>
    <s v="Apr"/>
  </r>
  <r>
    <s v="HB1131"/>
    <x v="0"/>
    <x v="1"/>
    <n v="4"/>
    <n v="0"/>
    <n v="4571"/>
    <x v="108"/>
    <d v="2025-01-20T00:00:00"/>
    <x v="0"/>
    <x v="3"/>
    <n v="7"/>
    <n v="31997"/>
    <s v="Jan"/>
  </r>
  <r>
    <s v="HB1132"/>
    <x v="1"/>
    <x v="3"/>
    <n v="2"/>
    <n v="0"/>
    <n v="8049"/>
    <x v="109"/>
    <d v="2025-04-30T00:00:00"/>
    <x v="2"/>
    <x v="1"/>
    <n v="5"/>
    <n v="40245"/>
    <s v="Apr"/>
  </r>
  <r>
    <s v="HB1133"/>
    <x v="1"/>
    <x v="1"/>
    <n v="3"/>
    <n v="3"/>
    <n v="11287"/>
    <x v="46"/>
    <d v="2025-11-20T00:00:00"/>
    <x v="2"/>
    <x v="1"/>
    <n v="1"/>
    <n v="11287"/>
    <s v="Nov"/>
  </r>
  <r>
    <s v="HB1134"/>
    <x v="0"/>
    <x v="1"/>
    <n v="1"/>
    <n v="1"/>
    <n v="4899"/>
    <x v="102"/>
    <d v="2025-05-08T00:00:00"/>
    <x v="3"/>
    <x v="4"/>
    <n v="6"/>
    <n v="29394"/>
    <s v="May"/>
  </r>
  <r>
    <s v="HB1135"/>
    <x v="1"/>
    <x v="1"/>
    <n v="2"/>
    <n v="1"/>
    <n v="5341"/>
    <x v="110"/>
    <d v="2025-06-17T00:00:00"/>
    <x v="1"/>
    <x v="4"/>
    <n v="1"/>
    <n v="5341"/>
    <s v="Jun"/>
  </r>
  <r>
    <s v="HB1136"/>
    <x v="0"/>
    <x v="1"/>
    <n v="2"/>
    <n v="3"/>
    <n v="9216"/>
    <x v="111"/>
    <d v="2025-01-05T00:00:00"/>
    <x v="2"/>
    <x v="0"/>
    <n v="4"/>
    <n v="36864"/>
    <s v="Jan"/>
  </r>
  <r>
    <s v="HB1137"/>
    <x v="0"/>
    <x v="1"/>
    <n v="3"/>
    <n v="0"/>
    <n v="10154"/>
    <x v="14"/>
    <d v="2025-10-20T00:00:00"/>
    <x v="0"/>
    <x v="0"/>
    <n v="5"/>
    <n v="50770"/>
    <s v="Oct"/>
  </r>
  <r>
    <s v="HB1138"/>
    <x v="1"/>
    <x v="1"/>
    <n v="3"/>
    <n v="3"/>
    <n v="11444"/>
    <x v="112"/>
    <d v="2025-03-07T00:00:00"/>
    <x v="0"/>
    <x v="4"/>
    <n v="5"/>
    <n v="57220"/>
    <s v="Mar"/>
  </r>
  <r>
    <s v="HB1139"/>
    <x v="0"/>
    <x v="1"/>
    <n v="1"/>
    <n v="2"/>
    <n v="7873"/>
    <x v="49"/>
    <d v="2025-05-23T00:00:00"/>
    <x v="3"/>
    <x v="4"/>
    <n v="5"/>
    <n v="39365"/>
    <s v="May"/>
  </r>
  <r>
    <s v="HB1140"/>
    <x v="0"/>
    <x v="2"/>
    <n v="4"/>
    <n v="0"/>
    <n v="7826"/>
    <x v="113"/>
    <d v="2025-06-29T00:00:00"/>
    <x v="1"/>
    <x v="3"/>
    <n v="2"/>
    <n v="15652"/>
    <s v="Jun"/>
  </r>
  <r>
    <s v="HB1141"/>
    <x v="1"/>
    <x v="3"/>
    <n v="3"/>
    <n v="1"/>
    <n v="4609"/>
    <x v="114"/>
    <d v="2025-08-21T00:00:00"/>
    <x v="1"/>
    <x v="2"/>
    <n v="4"/>
    <n v="18436"/>
    <s v="Aug"/>
  </r>
  <r>
    <s v="HB1142"/>
    <x v="1"/>
    <x v="1"/>
    <n v="1"/>
    <n v="0"/>
    <n v="7410"/>
    <x v="27"/>
    <d v="2025-01-31T00:00:00"/>
    <x v="0"/>
    <x v="3"/>
    <n v="3"/>
    <n v="22230"/>
    <s v="Jan"/>
  </r>
  <r>
    <s v="HB1143"/>
    <x v="1"/>
    <x v="1"/>
    <n v="4"/>
    <n v="1"/>
    <n v="5667"/>
    <x v="115"/>
    <d v="2025-10-10T00:00:00"/>
    <x v="2"/>
    <x v="3"/>
    <n v="7"/>
    <n v="39669"/>
    <s v="Oct"/>
  </r>
  <r>
    <s v="HB1144"/>
    <x v="0"/>
    <x v="2"/>
    <n v="2"/>
    <n v="0"/>
    <n v="7614"/>
    <x v="39"/>
    <d v="2025-05-16T00:00:00"/>
    <x v="1"/>
    <x v="3"/>
    <n v="6"/>
    <n v="45684"/>
    <s v="May"/>
  </r>
  <r>
    <s v="HB1145"/>
    <x v="1"/>
    <x v="3"/>
    <n v="4"/>
    <n v="1"/>
    <n v="7019"/>
    <x v="116"/>
    <d v="2025-08-12T00:00:00"/>
    <x v="3"/>
    <x v="4"/>
    <n v="6"/>
    <n v="42114"/>
    <s v="Aug"/>
  </r>
  <r>
    <s v="HB1146"/>
    <x v="0"/>
    <x v="1"/>
    <n v="3"/>
    <n v="2"/>
    <n v="7493"/>
    <x v="117"/>
    <d v="2025-09-12T00:00:00"/>
    <x v="2"/>
    <x v="0"/>
    <n v="1"/>
    <n v="7493"/>
    <s v="Sep"/>
  </r>
  <r>
    <s v="HB1147"/>
    <x v="1"/>
    <x v="1"/>
    <n v="1"/>
    <n v="0"/>
    <n v="3514"/>
    <x v="118"/>
    <d v="2025-10-19T00:00:00"/>
    <x v="2"/>
    <x v="1"/>
    <n v="3"/>
    <n v="10542"/>
    <s v="Oct"/>
  </r>
  <r>
    <s v="HB1148"/>
    <x v="1"/>
    <x v="1"/>
    <n v="4"/>
    <n v="2"/>
    <n v="3812"/>
    <x v="78"/>
    <d v="2025-12-03T00:00:00"/>
    <x v="2"/>
    <x v="2"/>
    <n v="5"/>
    <n v="19060"/>
    <s v="Nov"/>
  </r>
  <r>
    <s v="HB1149"/>
    <x v="1"/>
    <x v="2"/>
    <n v="3"/>
    <n v="1"/>
    <n v="10321"/>
    <x v="119"/>
    <d v="2025-03-13T00:00:00"/>
    <x v="3"/>
    <x v="4"/>
    <n v="3"/>
    <n v="30963"/>
    <s v="Mar"/>
  </r>
  <r>
    <s v="HB1150"/>
    <x v="0"/>
    <x v="2"/>
    <n v="3"/>
    <n v="3"/>
    <n v="9814"/>
    <x v="101"/>
    <d v="2025-09-24T00:00:00"/>
    <x v="1"/>
    <x v="3"/>
    <n v="5"/>
    <n v="49070"/>
    <s v="Sep"/>
  </r>
  <r>
    <s v="HB1151"/>
    <x v="0"/>
    <x v="0"/>
    <n v="2"/>
    <n v="1"/>
    <n v="11047"/>
    <x v="120"/>
    <d v="2025-10-04T00:00:00"/>
    <x v="3"/>
    <x v="4"/>
    <n v="5"/>
    <n v="55235"/>
    <s v="Sep"/>
  </r>
  <r>
    <s v="HB1152"/>
    <x v="1"/>
    <x v="2"/>
    <n v="2"/>
    <n v="0"/>
    <n v="8166"/>
    <x v="44"/>
    <d v="2025-03-02T00:00:00"/>
    <x v="3"/>
    <x v="3"/>
    <n v="2"/>
    <n v="16332"/>
    <s v="Feb"/>
  </r>
  <r>
    <s v="HB1153"/>
    <x v="1"/>
    <x v="3"/>
    <n v="1"/>
    <n v="2"/>
    <n v="6697"/>
    <x v="121"/>
    <d v="2025-05-25T00:00:00"/>
    <x v="1"/>
    <x v="1"/>
    <n v="2"/>
    <n v="13394"/>
    <s v="May"/>
  </r>
  <r>
    <s v="HB1154"/>
    <x v="0"/>
    <x v="2"/>
    <n v="3"/>
    <n v="3"/>
    <n v="6762"/>
    <x v="96"/>
    <d v="2025-04-09T00:00:00"/>
    <x v="3"/>
    <x v="1"/>
    <n v="7"/>
    <n v="47334"/>
    <s v="Apr"/>
  </r>
  <r>
    <s v="HB1155"/>
    <x v="1"/>
    <x v="1"/>
    <n v="1"/>
    <n v="2"/>
    <n v="8534"/>
    <x v="122"/>
    <d v="2025-07-04T00:00:00"/>
    <x v="1"/>
    <x v="1"/>
    <n v="1"/>
    <n v="8534"/>
    <s v="Jul"/>
  </r>
  <r>
    <s v="HB1156"/>
    <x v="0"/>
    <x v="0"/>
    <n v="4"/>
    <n v="0"/>
    <n v="7590"/>
    <x v="123"/>
    <d v="2025-05-31T00:00:00"/>
    <x v="0"/>
    <x v="1"/>
    <n v="4"/>
    <n v="30360"/>
    <s v="May"/>
  </r>
  <r>
    <s v="HB1157"/>
    <x v="0"/>
    <x v="2"/>
    <n v="2"/>
    <n v="0"/>
    <n v="8830"/>
    <x v="111"/>
    <d v="2025-01-03T00:00:00"/>
    <x v="1"/>
    <x v="3"/>
    <n v="2"/>
    <n v="17660"/>
    <s v="Jan"/>
  </r>
  <r>
    <s v="HB1158"/>
    <x v="0"/>
    <x v="2"/>
    <n v="3"/>
    <n v="0"/>
    <n v="2937"/>
    <x v="28"/>
    <d v="2025-08-28T00:00:00"/>
    <x v="3"/>
    <x v="4"/>
    <n v="5"/>
    <n v="14685"/>
    <s v="Aug"/>
  </r>
  <r>
    <s v="HB1159"/>
    <x v="1"/>
    <x v="2"/>
    <n v="3"/>
    <n v="0"/>
    <n v="9609"/>
    <x v="124"/>
    <d v="2025-04-17T00:00:00"/>
    <x v="0"/>
    <x v="1"/>
    <n v="2"/>
    <n v="19218"/>
    <s v="Apr"/>
  </r>
  <r>
    <s v="HB1160"/>
    <x v="0"/>
    <x v="0"/>
    <n v="3"/>
    <n v="0"/>
    <n v="11796"/>
    <x v="125"/>
    <d v="2025-03-08T00:00:00"/>
    <x v="2"/>
    <x v="0"/>
    <n v="1"/>
    <n v="11796"/>
    <s v="Mar"/>
  </r>
  <r>
    <s v="HB1161"/>
    <x v="0"/>
    <x v="2"/>
    <n v="1"/>
    <n v="2"/>
    <n v="7930"/>
    <x v="83"/>
    <d v="2025-07-31T00:00:00"/>
    <x v="3"/>
    <x v="1"/>
    <n v="2"/>
    <n v="15860"/>
    <s v="Jul"/>
  </r>
  <r>
    <s v="HB1162"/>
    <x v="0"/>
    <x v="0"/>
    <n v="4"/>
    <n v="3"/>
    <n v="9478"/>
    <x v="126"/>
    <d v="2025-06-16T00:00:00"/>
    <x v="0"/>
    <x v="3"/>
    <n v="6"/>
    <n v="56868"/>
    <s v="Jun"/>
  </r>
  <r>
    <s v="HB1163"/>
    <x v="0"/>
    <x v="2"/>
    <n v="3"/>
    <n v="2"/>
    <n v="11642"/>
    <x v="127"/>
    <d v="2025-09-28T00:00:00"/>
    <x v="2"/>
    <x v="4"/>
    <n v="7"/>
    <n v="81494"/>
    <s v="Sep"/>
  </r>
  <r>
    <s v="HB1164"/>
    <x v="1"/>
    <x v="1"/>
    <n v="2"/>
    <n v="2"/>
    <n v="9672"/>
    <x v="128"/>
    <d v="2025-07-17T00:00:00"/>
    <x v="1"/>
    <x v="0"/>
    <n v="3"/>
    <n v="29016"/>
    <s v="Jul"/>
  </r>
  <r>
    <s v="HB1165"/>
    <x v="0"/>
    <x v="2"/>
    <n v="4"/>
    <n v="3"/>
    <n v="6546"/>
    <x v="129"/>
    <d v="2025-09-08T00:00:00"/>
    <x v="1"/>
    <x v="2"/>
    <n v="6"/>
    <n v="39276"/>
    <s v="Sep"/>
  </r>
  <r>
    <s v="HB1166"/>
    <x v="1"/>
    <x v="2"/>
    <n v="1"/>
    <n v="3"/>
    <n v="3866"/>
    <x v="130"/>
    <d v="2025-08-07T00:00:00"/>
    <x v="1"/>
    <x v="4"/>
    <n v="5"/>
    <n v="19330"/>
    <s v="Aug"/>
  </r>
  <r>
    <s v="HB1167"/>
    <x v="0"/>
    <x v="3"/>
    <n v="1"/>
    <n v="1"/>
    <n v="9711"/>
    <x v="131"/>
    <d v="2025-08-15T00:00:00"/>
    <x v="1"/>
    <x v="4"/>
    <n v="3"/>
    <n v="29133"/>
    <s v="Aug"/>
  </r>
  <r>
    <s v="HB1168"/>
    <x v="0"/>
    <x v="1"/>
    <n v="3"/>
    <n v="0"/>
    <n v="7514"/>
    <x v="20"/>
    <d v="2025-08-09T00:00:00"/>
    <x v="0"/>
    <x v="0"/>
    <n v="4"/>
    <n v="30056"/>
    <s v="Aug"/>
  </r>
  <r>
    <s v="HB1169"/>
    <x v="0"/>
    <x v="2"/>
    <n v="3"/>
    <n v="1"/>
    <n v="9368"/>
    <x v="1"/>
    <d v="2025-10-04T00:00:00"/>
    <x v="0"/>
    <x v="2"/>
    <n v="4"/>
    <n v="37472"/>
    <s v="Sep"/>
  </r>
  <r>
    <s v="HB1170"/>
    <x v="1"/>
    <x v="2"/>
    <n v="3"/>
    <n v="1"/>
    <n v="11935"/>
    <x v="132"/>
    <d v="2025-06-12T00:00:00"/>
    <x v="3"/>
    <x v="3"/>
    <n v="7"/>
    <n v="83545"/>
    <s v="Jun"/>
  </r>
  <r>
    <s v="HB1171"/>
    <x v="1"/>
    <x v="3"/>
    <n v="3"/>
    <n v="0"/>
    <n v="6723"/>
    <x v="65"/>
    <d v="2025-02-22T00:00:00"/>
    <x v="2"/>
    <x v="0"/>
    <n v="5"/>
    <n v="33615"/>
    <s v="Feb"/>
  </r>
  <r>
    <s v="HB1172"/>
    <x v="0"/>
    <x v="3"/>
    <n v="2"/>
    <n v="0"/>
    <n v="11141"/>
    <x v="133"/>
    <d v="2025-08-08T00:00:00"/>
    <x v="2"/>
    <x v="2"/>
    <n v="5"/>
    <n v="55705"/>
    <s v="Aug"/>
  </r>
  <r>
    <s v="HB1173"/>
    <x v="1"/>
    <x v="2"/>
    <n v="1"/>
    <n v="2"/>
    <n v="8445"/>
    <x v="134"/>
    <d v="2025-05-12T00:00:00"/>
    <x v="0"/>
    <x v="3"/>
    <n v="4"/>
    <n v="33780"/>
    <s v="May"/>
  </r>
  <r>
    <s v="HB1174"/>
    <x v="0"/>
    <x v="0"/>
    <n v="3"/>
    <n v="1"/>
    <n v="3930"/>
    <x v="135"/>
    <d v="2025-04-11T00:00:00"/>
    <x v="0"/>
    <x v="2"/>
    <n v="2"/>
    <n v="7860"/>
    <s v="Apr"/>
  </r>
  <r>
    <s v="HB1175"/>
    <x v="0"/>
    <x v="3"/>
    <n v="4"/>
    <n v="1"/>
    <n v="7911"/>
    <x v="136"/>
    <d v="2025-07-25T00:00:00"/>
    <x v="1"/>
    <x v="4"/>
    <n v="5"/>
    <n v="39555"/>
    <s v="Jul"/>
  </r>
  <r>
    <s v="HB1176"/>
    <x v="0"/>
    <x v="0"/>
    <n v="3"/>
    <n v="1"/>
    <n v="10446"/>
    <x v="6"/>
    <d v="2025-07-02T00:00:00"/>
    <x v="2"/>
    <x v="1"/>
    <n v="6"/>
    <n v="62676"/>
    <s v="Jun"/>
  </r>
  <r>
    <s v="HB1177"/>
    <x v="0"/>
    <x v="2"/>
    <n v="1"/>
    <n v="3"/>
    <n v="7316"/>
    <x v="137"/>
    <d v="2025-05-11T00:00:00"/>
    <x v="3"/>
    <x v="4"/>
    <n v="2"/>
    <n v="14632"/>
    <s v="May"/>
  </r>
  <r>
    <s v="HB1178"/>
    <x v="0"/>
    <x v="2"/>
    <n v="2"/>
    <n v="3"/>
    <n v="11102"/>
    <x v="25"/>
    <d v="2025-06-05T00:00:00"/>
    <x v="0"/>
    <x v="2"/>
    <n v="7"/>
    <n v="77714"/>
    <s v="May"/>
  </r>
  <r>
    <s v="HB1179"/>
    <x v="0"/>
    <x v="0"/>
    <n v="3"/>
    <n v="0"/>
    <n v="8024"/>
    <x v="57"/>
    <d v="2025-11-29T00:00:00"/>
    <x v="2"/>
    <x v="4"/>
    <n v="7"/>
    <n v="56168"/>
    <s v="Nov"/>
  </r>
  <r>
    <s v="HB1180"/>
    <x v="1"/>
    <x v="0"/>
    <n v="4"/>
    <n v="2"/>
    <n v="3920"/>
    <x v="138"/>
    <d v="2025-05-30T00:00:00"/>
    <x v="2"/>
    <x v="4"/>
    <n v="5"/>
    <n v="19600"/>
    <s v="May"/>
  </r>
  <r>
    <s v="HB1181"/>
    <x v="0"/>
    <x v="3"/>
    <n v="3"/>
    <n v="0"/>
    <n v="11709"/>
    <x v="106"/>
    <d v="2025-06-29T00:00:00"/>
    <x v="2"/>
    <x v="2"/>
    <n v="4"/>
    <n v="46836"/>
    <s v="Jun"/>
  </r>
  <r>
    <s v="HB1182"/>
    <x v="0"/>
    <x v="2"/>
    <n v="2"/>
    <n v="1"/>
    <n v="3481"/>
    <x v="139"/>
    <d v="2025-12-28T00:00:00"/>
    <x v="2"/>
    <x v="0"/>
    <n v="6"/>
    <n v="20886"/>
    <s v="Dec"/>
  </r>
  <r>
    <s v="HB1183"/>
    <x v="0"/>
    <x v="2"/>
    <n v="3"/>
    <n v="0"/>
    <n v="3213"/>
    <x v="140"/>
    <d v="2025-08-12T00:00:00"/>
    <x v="0"/>
    <x v="2"/>
    <n v="3"/>
    <n v="9639"/>
    <s v="Aug"/>
  </r>
  <r>
    <s v="HB1184"/>
    <x v="0"/>
    <x v="0"/>
    <n v="4"/>
    <n v="1"/>
    <n v="8584"/>
    <x v="141"/>
    <d v="2025-11-11T00:00:00"/>
    <x v="2"/>
    <x v="2"/>
    <n v="5"/>
    <n v="42920"/>
    <s v="Nov"/>
  </r>
  <r>
    <s v="HB1185"/>
    <x v="1"/>
    <x v="3"/>
    <n v="4"/>
    <n v="2"/>
    <n v="5988"/>
    <x v="142"/>
    <d v="2025-04-11T00:00:00"/>
    <x v="1"/>
    <x v="0"/>
    <n v="3"/>
    <n v="17964"/>
    <s v="Apr"/>
  </r>
  <r>
    <s v="HB1186"/>
    <x v="0"/>
    <x v="2"/>
    <n v="3"/>
    <n v="3"/>
    <n v="8062"/>
    <x v="143"/>
    <d v="2025-03-14T00:00:00"/>
    <x v="3"/>
    <x v="3"/>
    <n v="5"/>
    <n v="40310"/>
    <s v="Mar"/>
  </r>
  <r>
    <s v="HB1187"/>
    <x v="1"/>
    <x v="0"/>
    <n v="4"/>
    <n v="3"/>
    <n v="8714"/>
    <x v="144"/>
    <d v="2025-06-19T00:00:00"/>
    <x v="3"/>
    <x v="2"/>
    <n v="6"/>
    <n v="52284"/>
    <s v="Jun"/>
  </r>
  <r>
    <s v="HB1188"/>
    <x v="0"/>
    <x v="0"/>
    <n v="1"/>
    <n v="1"/>
    <n v="10845"/>
    <x v="68"/>
    <d v="2025-12-24T00:00:00"/>
    <x v="2"/>
    <x v="4"/>
    <n v="7"/>
    <n v="75915"/>
    <s v="Dec"/>
  </r>
  <r>
    <s v="HB1189"/>
    <x v="1"/>
    <x v="2"/>
    <n v="2"/>
    <n v="2"/>
    <n v="8261"/>
    <x v="145"/>
    <d v="2025-03-19T00:00:00"/>
    <x v="2"/>
    <x v="1"/>
    <n v="3"/>
    <n v="24783"/>
    <s v="Mar"/>
  </r>
  <r>
    <s v="HB1190"/>
    <x v="0"/>
    <x v="1"/>
    <n v="3"/>
    <n v="3"/>
    <n v="3233"/>
    <x v="146"/>
    <d v="2025-06-24T00:00:00"/>
    <x v="1"/>
    <x v="1"/>
    <n v="3"/>
    <n v="9699"/>
    <s v="Jun"/>
  </r>
  <r>
    <s v="HB1191"/>
    <x v="0"/>
    <x v="0"/>
    <n v="1"/>
    <n v="3"/>
    <n v="8263"/>
    <x v="147"/>
    <d v="2025-09-11T00:00:00"/>
    <x v="1"/>
    <x v="1"/>
    <n v="4"/>
    <n v="33052"/>
    <s v="Sep"/>
  </r>
  <r>
    <s v="HB1192"/>
    <x v="1"/>
    <x v="1"/>
    <n v="3"/>
    <n v="2"/>
    <n v="10297"/>
    <x v="148"/>
    <d v="2025-08-15T00:00:00"/>
    <x v="0"/>
    <x v="2"/>
    <n v="7"/>
    <n v="72079"/>
    <s v="Aug"/>
  </r>
  <r>
    <s v="HB1193"/>
    <x v="0"/>
    <x v="2"/>
    <n v="3"/>
    <n v="2"/>
    <n v="5817"/>
    <x v="149"/>
    <d v="2025-10-16T00:00:00"/>
    <x v="1"/>
    <x v="4"/>
    <n v="5"/>
    <n v="29085"/>
    <s v="Oct"/>
  </r>
  <r>
    <s v="HB1194"/>
    <x v="1"/>
    <x v="0"/>
    <n v="1"/>
    <n v="3"/>
    <n v="7904"/>
    <x v="150"/>
    <d v="2025-09-15T00:00:00"/>
    <x v="1"/>
    <x v="1"/>
    <n v="7"/>
    <n v="55328"/>
    <s v="Sep"/>
  </r>
  <r>
    <s v="HB1195"/>
    <x v="0"/>
    <x v="3"/>
    <n v="2"/>
    <n v="3"/>
    <n v="10534"/>
    <x v="1"/>
    <d v="2025-10-05T00:00:00"/>
    <x v="3"/>
    <x v="2"/>
    <n v="5"/>
    <n v="52670"/>
    <s v="Sep"/>
  </r>
  <r>
    <s v="HB1196"/>
    <x v="0"/>
    <x v="0"/>
    <n v="2"/>
    <n v="3"/>
    <n v="9392"/>
    <x v="151"/>
    <d v="2025-12-08T00:00:00"/>
    <x v="0"/>
    <x v="4"/>
    <n v="6"/>
    <n v="56352"/>
    <s v="Dec"/>
  </r>
  <r>
    <s v="HB1197"/>
    <x v="0"/>
    <x v="3"/>
    <n v="4"/>
    <n v="0"/>
    <n v="6265"/>
    <x v="152"/>
    <d v="2025-11-19T00:00:00"/>
    <x v="1"/>
    <x v="1"/>
    <n v="6"/>
    <n v="37590"/>
    <s v="Nov"/>
  </r>
  <r>
    <s v="HB1198"/>
    <x v="1"/>
    <x v="0"/>
    <n v="2"/>
    <n v="2"/>
    <n v="5035"/>
    <x v="70"/>
    <d v="2025-02-17T00:00:00"/>
    <x v="1"/>
    <x v="4"/>
    <n v="1"/>
    <n v="5035"/>
    <s v="Feb"/>
  </r>
  <r>
    <s v="HB1199"/>
    <x v="1"/>
    <x v="0"/>
    <n v="3"/>
    <n v="2"/>
    <n v="11988"/>
    <x v="153"/>
    <d v="2025-12-09T00:00:00"/>
    <x v="2"/>
    <x v="2"/>
    <n v="3"/>
    <n v="35964"/>
    <s v="Dec"/>
  </r>
  <r>
    <s v="HB1200"/>
    <x v="1"/>
    <x v="0"/>
    <n v="3"/>
    <n v="2"/>
    <n v="4186"/>
    <x v="154"/>
    <d v="2025-05-06T00:00:00"/>
    <x v="2"/>
    <x v="2"/>
    <n v="7"/>
    <n v="29302"/>
    <s v="Ap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6155DD-2D9B-4FAB-9CF7-E49E473F9C2F}" name="PivotTable6"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D11:E14" firstHeaderRow="1" firstDataRow="1" firstDataCol="1"/>
  <pivotFields count="15">
    <pivotField showAll="0"/>
    <pivotField axis="axisRow" showAll="0">
      <items count="3">
        <item x="1"/>
        <item x="0"/>
        <item t="default"/>
      </items>
    </pivotField>
    <pivotField showAll="0">
      <items count="5">
        <item x="2"/>
        <item x="3"/>
        <item x="1"/>
        <item x="0"/>
        <item t="default"/>
      </items>
    </pivotField>
    <pivotField showAll="0"/>
    <pivotField showAll="0"/>
    <pivotField showAll="0"/>
    <pivotField numFmtId="164" showAll="0">
      <items count="156">
        <item x="111"/>
        <item x="95"/>
        <item x="37"/>
        <item x="93"/>
        <item x="108"/>
        <item x="92"/>
        <item x="66"/>
        <item x="51"/>
        <item x="4"/>
        <item x="45"/>
        <item x="81"/>
        <item x="27"/>
        <item x="86"/>
        <item x="91"/>
        <item x="85"/>
        <item x="43"/>
        <item x="5"/>
        <item x="84"/>
        <item x="70"/>
        <item x="65"/>
        <item x="21"/>
        <item x="56"/>
        <item x="44"/>
        <item x="3"/>
        <item x="112"/>
        <item x="29"/>
        <item x="125"/>
        <item x="143"/>
        <item x="119"/>
        <item x="17"/>
        <item x="145"/>
        <item x="79"/>
        <item x="26"/>
        <item x="96"/>
        <item x="53"/>
        <item x="142"/>
        <item x="135"/>
        <item x="124"/>
        <item x="72"/>
        <item x="33"/>
        <item x="42"/>
        <item x="109"/>
        <item x="107"/>
        <item x="154"/>
        <item x="19"/>
        <item x="102"/>
        <item x="134"/>
        <item x="137"/>
        <item x="39"/>
        <item x="73"/>
        <item x="34"/>
        <item x="7"/>
        <item x="49"/>
        <item x="18"/>
        <item x="121"/>
        <item x="8"/>
        <item x="138"/>
        <item x="123"/>
        <item x="25"/>
        <item x="80"/>
        <item x="132"/>
        <item x="36"/>
        <item x="64"/>
        <item x="126"/>
        <item x="63"/>
        <item x="144"/>
        <item x="110"/>
        <item x="146"/>
        <item x="35"/>
        <item x="106"/>
        <item x="6"/>
        <item x="113"/>
        <item x="122"/>
        <item x="100"/>
        <item x="32"/>
        <item x="98"/>
        <item x="76"/>
        <item x="105"/>
        <item x="128"/>
        <item x="82"/>
        <item x="136"/>
        <item x="15"/>
        <item x="54"/>
        <item x="55"/>
        <item x="11"/>
        <item x="83"/>
        <item x="130"/>
        <item x="133"/>
        <item x="59"/>
        <item x="20"/>
        <item x="116"/>
        <item x="148"/>
        <item x="140"/>
        <item x="0"/>
        <item x="40"/>
        <item x="131"/>
        <item x="50"/>
        <item x="114"/>
        <item x="69"/>
        <item x="28"/>
        <item x="10"/>
        <item x="24"/>
        <item x="58"/>
        <item x="129"/>
        <item x="87"/>
        <item x="23"/>
        <item x="147"/>
        <item x="150"/>
        <item x="117"/>
        <item x="60"/>
        <item x="38"/>
        <item x="101"/>
        <item x="127"/>
        <item x="77"/>
        <item x="61"/>
        <item x="71"/>
        <item x="120"/>
        <item x="1"/>
        <item x="104"/>
        <item x="115"/>
        <item x="67"/>
        <item x="9"/>
        <item x="149"/>
        <item x="47"/>
        <item x="14"/>
        <item x="118"/>
        <item x="48"/>
        <item x="74"/>
        <item x="41"/>
        <item x="2"/>
        <item x="62"/>
        <item x="141"/>
        <item x="97"/>
        <item x="103"/>
        <item x="12"/>
        <item x="152"/>
        <item x="22"/>
        <item x="46"/>
        <item x="16"/>
        <item x="57"/>
        <item x="99"/>
        <item x="78"/>
        <item x="151"/>
        <item x="75"/>
        <item x="153"/>
        <item x="88"/>
        <item x="52"/>
        <item x="31"/>
        <item x="89"/>
        <item x="90"/>
        <item x="68"/>
        <item x="139"/>
        <item x="94"/>
        <item x="13"/>
        <item x="30"/>
        <item t="default"/>
      </items>
    </pivotField>
    <pivotField numFmtId="164" showAll="0"/>
    <pivotField showAll="0">
      <items count="5">
        <item x="0"/>
        <item x="1"/>
        <item x="2"/>
        <item x="3"/>
        <item t="default"/>
      </items>
    </pivotField>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3">
    <i>
      <x/>
    </i>
    <i>
      <x v="1"/>
    </i>
    <i t="grand">
      <x/>
    </i>
  </rowItems>
  <colItems count="1">
    <i/>
  </colItems>
  <dataFields count="1">
    <dataField name="Sum of Total Bill" fld="11" baseField="0" baseItem="0"/>
  </dataFields>
  <formats count="1">
    <format dxfId="0">
      <pivotArea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B2D909-EAD1-4BA1-96BC-3A60C0C18406}" name="PivotTable2"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8" firstHeaderRow="1" firstDataRow="1" firstDataCol="1"/>
  <pivotFields count="15">
    <pivotField dataField="1" showAll="0"/>
    <pivotField showAll="0">
      <items count="3">
        <item x="1"/>
        <item x="0"/>
        <item t="default"/>
      </items>
    </pivotField>
    <pivotField showAll="0">
      <items count="5">
        <item x="2"/>
        <item x="3"/>
        <item x="1"/>
        <item x="0"/>
        <item t="default"/>
      </items>
    </pivotField>
    <pivotField showAll="0"/>
    <pivotField showAll="0"/>
    <pivotField showAll="0"/>
    <pivotField numFmtId="164" showAll="0">
      <items count="156">
        <item x="111"/>
        <item x="95"/>
        <item x="37"/>
        <item x="93"/>
        <item x="108"/>
        <item x="92"/>
        <item x="66"/>
        <item x="51"/>
        <item x="4"/>
        <item x="45"/>
        <item x="81"/>
        <item x="27"/>
        <item x="86"/>
        <item x="91"/>
        <item x="85"/>
        <item x="43"/>
        <item x="5"/>
        <item x="84"/>
        <item x="70"/>
        <item x="65"/>
        <item x="21"/>
        <item x="56"/>
        <item x="44"/>
        <item x="3"/>
        <item x="112"/>
        <item x="29"/>
        <item x="125"/>
        <item x="143"/>
        <item x="119"/>
        <item x="17"/>
        <item x="145"/>
        <item x="79"/>
        <item x="26"/>
        <item x="96"/>
        <item x="53"/>
        <item x="142"/>
        <item x="135"/>
        <item x="124"/>
        <item x="72"/>
        <item x="33"/>
        <item x="42"/>
        <item x="109"/>
        <item x="107"/>
        <item x="154"/>
        <item x="19"/>
        <item x="102"/>
        <item x="134"/>
        <item x="137"/>
        <item x="39"/>
        <item x="73"/>
        <item x="34"/>
        <item x="7"/>
        <item x="49"/>
        <item x="18"/>
        <item x="121"/>
        <item x="8"/>
        <item x="138"/>
        <item x="123"/>
        <item x="25"/>
        <item x="80"/>
        <item x="132"/>
        <item x="36"/>
        <item x="64"/>
        <item x="126"/>
        <item x="63"/>
        <item x="144"/>
        <item x="110"/>
        <item x="146"/>
        <item x="35"/>
        <item x="106"/>
        <item x="6"/>
        <item x="113"/>
        <item x="122"/>
        <item x="100"/>
        <item x="32"/>
        <item x="98"/>
        <item x="76"/>
        <item x="105"/>
        <item x="128"/>
        <item x="82"/>
        <item x="136"/>
        <item x="15"/>
        <item x="54"/>
        <item x="55"/>
        <item x="11"/>
        <item x="83"/>
        <item x="130"/>
        <item x="133"/>
        <item x="59"/>
        <item x="20"/>
        <item x="116"/>
        <item x="148"/>
        <item x="140"/>
        <item x="0"/>
        <item x="40"/>
        <item x="131"/>
        <item x="50"/>
        <item x="114"/>
        <item x="69"/>
        <item x="28"/>
        <item x="10"/>
        <item x="24"/>
        <item x="58"/>
        <item x="129"/>
        <item x="87"/>
        <item x="23"/>
        <item x="147"/>
        <item x="150"/>
        <item x="117"/>
        <item x="60"/>
        <item x="38"/>
        <item x="101"/>
        <item x="127"/>
        <item x="77"/>
        <item x="61"/>
        <item x="71"/>
        <item x="120"/>
        <item x="1"/>
        <item x="104"/>
        <item x="115"/>
        <item x="67"/>
        <item x="9"/>
        <item x="149"/>
        <item x="47"/>
        <item x="14"/>
        <item x="118"/>
        <item x="48"/>
        <item x="74"/>
        <item x="41"/>
        <item x="2"/>
        <item x="62"/>
        <item x="141"/>
        <item x="97"/>
        <item x="103"/>
        <item x="12"/>
        <item x="152"/>
        <item x="22"/>
        <item x="46"/>
        <item x="16"/>
        <item x="57"/>
        <item x="99"/>
        <item x="78"/>
        <item x="151"/>
        <item x="75"/>
        <item x="153"/>
        <item x="88"/>
        <item x="52"/>
        <item x="31"/>
        <item x="89"/>
        <item x="90"/>
        <item x="68"/>
        <item x="139"/>
        <item x="94"/>
        <item x="13"/>
        <item x="30"/>
        <item t="default"/>
      </items>
    </pivotField>
    <pivotField numFmtId="164" showAll="0"/>
    <pivotField axis="axisRow" showAll="0">
      <items count="5">
        <item x="0"/>
        <item x="1"/>
        <item x="2"/>
        <item x="3"/>
        <item t="default"/>
      </items>
    </pivotField>
    <pivotField showAll="0">
      <items count="6">
        <item x="4"/>
        <item x="2"/>
        <item x="3"/>
        <item x="1"/>
        <item x="0"/>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t="grand">
      <x/>
    </i>
  </rowItems>
  <colItems count="1">
    <i/>
  </colItems>
  <dataFields count="1">
    <dataField name="Count of Booking_ID" fld="0" subtotal="count"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3604D1-3A2F-4E3B-BC28-BB026BE3C6DB}" name="PivotTable7"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G11:H16" firstHeaderRow="1" firstDataRow="1" firstDataCol="1"/>
  <pivotFields count="15">
    <pivotField showAll="0"/>
    <pivotField showAll="0">
      <items count="3">
        <item x="1"/>
        <item x="0"/>
        <item t="default"/>
      </items>
    </pivotField>
    <pivotField axis="axisRow" showAll="0">
      <items count="5">
        <item x="2"/>
        <item x="3"/>
        <item x="1"/>
        <item x="0"/>
        <item t="default"/>
      </items>
    </pivotField>
    <pivotField showAll="0"/>
    <pivotField showAll="0"/>
    <pivotField showAll="0"/>
    <pivotField numFmtId="164" showAll="0">
      <items count="156">
        <item x="111"/>
        <item x="95"/>
        <item x="37"/>
        <item x="93"/>
        <item x="108"/>
        <item x="92"/>
        <item x="66"/>
        <item x="51"/>
        <item x="4"/>
        <item x="45"/>
        <item x="81"/>
        <item x="27"/>
        <item x="86"/>
        <item x="91"/>
        <item x="85"/>
        <item x="43"/>
        <item x="5"/>
        <item x="84"/>
        <item x="70"/>
        <item x="65"/>
        <item x="21"/>
        <item x="56"/>
        <item x="44"/>
        <item x="3"/>
        <item x="112"/>
        <item x="29"/>
        <item x="125"/>
        <item x="143"/>
        <item x="119"/>
        <item x="17"/>
        <item x="145"/>
        <item x="79"/>
        <item x="26"/>
        <item x="96"/>
        <item x="53"/>
        <item x="142"/>
        <item x="135"/>
        <item x="124"/>
        <item x="72"/>
        <item x="33"/>
        <item x="42"/>
        <item x="109"/>
        <item x="107"/>
        <item x="154"/>
        <item x="19"/>
        <item x="102"/>
        <item x="134"/>
        <item x="137"/>
        <item x="39"/>
        <item x="73"/>
        <item x="34"/>
        <item x="7"/>
        <item x="49"/>
        <item x="18"/>
        <item x="121"/>
        <item x="8"/>
        <item x="138"/>
        <item x="123"/>
        <item x="25"/>
        <item x="80"/>
        <item x="132"/>
        <item x="36"/>
        <item x="64"/>
        <item x="126"/>
        <item x="63"/>
        <item x="144"/>
        <item x="110"/>
        <item x="146"/>
        <item x="35"/>
        <item x="106"/>
        <item x="6"/>
        <item x="113"/>
        <item x="122"/>
        <item x="100"/>
        <item x="32"/>
        <item x="98"/>
        <item x="76"/>
        <item x="105"/>
        <item x="128"/>
        <item x="82"/>
        <item x="136"/>
        <item x="15"/>
        <item x="54"/>
        <item x="55"/>
        <item x="11"/>
        <item x="83"/>
        <item x="130"/>
        <item x="133"/>
        <item x="59"/>
        <item x="20"/>
        <item x="116"/>
        <item x="148"/>
        <item x="140"/>
        <item x="0"/>
        <item x="40"/>
        <item x="131"/>
        <item x="50"/>
        <item x="114"/>
        <item x="69"/>
        <item x="28"/>
        <item x="10"/>
        <item x="24"/>
        <item x="58"/>
        <item x="129"/>
        <item x="87"/>
        <item x="23"/>
        <item x="147"/>
        <item x="150"/>
        <item x="117"/>
        <item x="60"/>
        <item x="38"/>
        <item x="101"/>
        <item x="127"/>
        <item x="77"/>
        <item x="61"/>
        <item x="71"/>
        <item x="120"/>
        <item x="1"/>
        <item x="104"/>
        <item x="115"/>
        <item x="67"/>
        <item x="9"/>
        <item x="149"/>
        <item x="47"/>
        <item x="14"/>
        <item x="118"/>
        <item x="48"/>
        <item x="74"/>
        <item x="41"/>
        <item x="2"/>
        <item x="62"/>
        <item x="141"/>
        <item x="97"/>
        <item x="103"/>
        <item x="12"/>
        <item x="152"/>
        <item x="22"/>
        <item x="46"/>
        <item x="16"/>
        <item x="57"/>
        <item x="99"/>
        <item x="78"/>
        <item x="151"/>
        <item x="75"/>
        <item x="153"/>
        <item x="88"/>
        <item x="52"/>
        <item x="31"/>
        <item x="89"/>
        <item x="90"/>
        <item x="68"/>
        <item x="139"/>
        <item x="94"/>
        <item x="13"/>
        <item x="30"/>
        <item t="default"/>
      </items>
    </pivotField>
    <pivotField numFmtId="164" showAll="0"/>
    <pivotField showAll="0">
      <items count="5">
        <item x="0"/>
        <item x="1"/>
        <item x="2"/>
        <item x="3"/>
        <item t="default"/>
      </items>
    </pivotField>
    <pivotField showAll="0">
      <items count="6">
        <item x="4"/>
        <item x="2"/>
        <item x="3"/>
        <item x="1"/>
        <item x="0"/>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Total Bill" fld="11" baseField="0" baseItem="0"/>
  </dataFields>
  <formats count="1">
    <format dxfId="2">
      <pivotArea outline="0" collapsedLevelsAreSubtotals="1" fieldPosition="0"/>
    </format>
  </formats>
  <chartFormats count="6">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EB9A2B-82FE-45A3-B4FC-02CD856D196D}"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5">
    <pivotField dataField="1" showAll="0"/>
    <pivotField showAll="0">
      <items count="3">
        <item x="1"/>
        <item x="0"/>
        <item t="default"/>
      </items>
    </pivotField>
    <pivotField showAll="0">
      <items count="5">
        <item x="2"/>
        <item x="3"/>
        <item x="1"/>
        <item x="0"/>
        <item t="default"/>
      </items>
    </pivotField>
    <pivotField showAll="0"/>
    <pivotField showAll="0"/>
    <pivotField dataField="1" showAll="0"/>
    <pivotField numFmtId="164" showAll="0">
      <items count="156">
        <item x="111"/>
        <item x="95"/>
        <item x="37"/>
        <item x="93"/>
        <item x="108"/>
        <item x="92"/>
        <item x="66"/>
        <item x="51"/>
        <item x="4"/>
        <item x="45"/>
        <item x="81"/>
        <item x="27"/>
        <item x="86"/>
        <item x="91"/>
        <item x="85"/>
        <item x="43"/>
        <item x="5"/>
        <item x="84"/>
        <item x="70"/>
        <item x="65"/>
        <item x="21"/>
        <item x="56"/>
        <item x="44"/>
        <item x="3"/>
        <item x="112"/>
        <item x="29"/>
        <item x="125"/>
        <item x="143"/>
        <item x="119"/>
        <item x="17"/>
        <item x="145"/>
        <item x="79"/>
        <item x="26"/>
        <item x="96"/>
        <item x="53"/>
        <item x="142"/>
        <item x="135"/>
        <item x="124"/>
        <item x="72"/>
        <item x="33"/>
        <item x="42"/>
        <item x="109"/>
        <item x="107"/>
        <item x="154"/>
        <item x="19"/>
        <item x="102"/>
        <item x="134"/>
        <item x="137"/>
        <item x="39"/>
        <item x="73"/>
        <item x="34"/>
        <item x="7"/>
        <item x="49"/>
        <item x="18"/>
        <item x="121"/>
        <item x="8"/>
        <item x="138"/>
        <item x="123"/>
        <item x="25"/>
        <item x="80"/>
        <item x="132"/>
        <item x="36"/>
        <item x="64"/>
        <item x="126"/>
        <item x="63"/>
        <item x="144"/>
        <item x="110"/>
        <item x="146"/>
        <item x="35"/>
        <item x="106"/>
        <item x="6"/>
        <item x="113"/>
        <item x="122"/>
        <item x="100"/>
        <item x="32"/>
        <item x="98"/>
        <item x="76"/>
        <item x="105"/>
        <item x="128"/>
        <item x="82"/>
        <item x="136"/>
        <item x="15"/>
        <item x="54"/>
        <item x="55"/>
        <item x="11"/>
        <item x="83"/>
        <item x="130"/>
        <item x="133"/>
        <item x="59"/>
        <item x="20"/>
        <item x="116"/>
        <item x="148"/>
        <item x="140"/>
        <item x="0"/>
        <item x="40"/>
        <item x="131"/>
        <item x="50"/>
        <item x="114"/>
        <item x="69"/>
        <item x="28"/>
        <item x="10"/>
        <item x="24"/>
        <item x="58"/>
        <item x="129"/>
        <item x="87"/>
        <item x="23"/>
        <item x="147"/>
        <item x="150"/>
        <item x="117"/>
        <item x="60"/>
        <item x="38"/>
        <item x="101"/>
        <item x="127"/>
        <item x="77"/>
        <item x="61"/>
        <item x="71"/>
        <item x="120"/>
        <item x="1"/>
        <item x="104"/>
        <item x="115"/>
        <item x="67"/>
        <item x="9"/>
        <item x="149"/>
        <item x="47"/>
        <item x="14"/>
        <item x="118"/>
        <item x="48"/>
        <item x="74"/>
        <item x="41"/>
        <item x="2"/>
        <item x="62"/>
        <item x="141"/>
        <item x="97"/>
        <item x="103"/>
        <item x="12"/>
        <item x="152"/>
        <item x="22"/>
        <item x="46"/>
        <item x="16"/>
        <item x="57"/>
        <item x="99"/>
        <item x="78"/>
        <item x="151"/>
        <item x="75"/>
        <item x="153"/>
        <item x="88"/>
        <item x="52"/>
        <item x="31"/>
        <item x="89"/>
        <item x="90"/>
        <item x="68"/>
        <item x="139"/>
        <item x="94"/>
        <item x="13"/>
        <item x="30"/>
        <item t="default"/>
      </items>
    </pivotField>
    <pivotField numFmtId="164" showAll="0"/>
    <pivotField showAll="0">
      <items count="5">
        <item x="0"/>
        <item x="1"/>
        <item x="2"/>
        <item x="3"/>
        <item t="default"/>
      </items>
    </pivotField>
    <pivotField dataField="1" showAll="0">
      <items count="6">
        <item x="4"/>
        <item x="2"/>
        <item x="3"/>
        <item x="1"/>
        <item x="0"/>
        <item t="default"/>
      </items>
    </pivotField>
    <pivotField dataField="1"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i="1">
      <x v="1"/>
    </i>
    <i i="2">
      <x v="2"/>
    </i>
    <i i="3">
      <x v="3"/>
    </i>
    <i i="4">
      <x v="4"/>
    </i>
  </rowItems>
  <colItems count="1">
    <i/>
  </colItems>
  <dataFields count="5">
    <dataField name="Count of Booking_ID" fld="0" subtotal="count" baseField="0" baseItem="0"/>
    <dataField name="Sum of Total Bill" fld="11" baseField="0" baseItem="0"/>
    <dataField name="Average of Room_Rate" fld="5" subtotal="average" baseField="0" baseItem="1"/>
    <dataField name="Average of Rating" fld="9" subtotal="average" baseField="0" baseItem="1" numFmtId="1"/>
    <dataField name="Average of Night Stayed" fld="10" subtotal="average" baseField="0" baseItem="1" numFmtId="1"/>
  </dataFields>
  <formats count="7">
    <format dxfId="9">
      <pivotArea outline="0" collapsedLevelsAreSubtotals="1" fieldPosition="0"/>
    </format>
    <format dxfId="8">
      <pivotArea collapsedLevelsAreSubtotals="1" fieldPosition="0">
        <references count="1">
          <reference field="4294967294" count="2">
            <x v="1"/>
            <x v="2"/>
          </reference>
        </references>
      </pivotArea>
    </format>
    <format dxfId="7">
      <pivotArea outline="0" fieldPosition="0">
        <references count="1">
          <reference field="4294967294" count="1">
            <x v="3"/>
          </reference>
        </references>
      </pivotArea>
    </format>
    <format dxfId="6">
      <pivotArea outline="0" fieldPosition="0">
        <references count="1">
          <reference field="4294967294" count="1">
            <x v="4"/>
          </reference>
        </references>
      </pivotArea>
    </format>
    <format dxfId="5">
      <pivotArea collapsedLevelsAreSubtotals="1" fieldPosition="0">
        <references count="1">
          <reference field="4294967294" count="2">
            <x v="3"/>
            <x v="4"/>
          </reference>
        </references>
      </pivotArea>
    </format>
    <format dxfId="4">
      <pivotArea collapsedLevelsAreSubtotals="1" fieldPosition="0">
        <references count="1">
          <reference field="4294967294" count="1">
            <x v="3"/>
          </reference>
        </references>
      </pivotArea>
    </format>
    <format dxfId="3">
      <pivotArea collapsedLevelsAreSubtotals="1"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A2AD58-4A4D-4E4B-BCB4-615D39185CC6}" name="PivotTable10"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M11:N16" firstHeaderRow="1" firstDataRow="1" firstDataCol="1"/>
  <pivotFields count="15">
    <pivotField showAll="0"/>
    <pivotField showAll="0">
      <items count="3">
        <item x="1"/>
        <item x="0"/>
        <item t="default"/>
      </items>
    </pivotField>
    <pivotField axis="axisRow" showAll="0">
      <items count="5">
        <item x="2"/>
        <item x="3"/>
        <item x="1"/>
        <item x="0"/>
        <item t="default"/>
      </items>
    </pivotField>
    <pivotField showAll="0"/>
    <pivotField showAll="0"/>
    <pivotField dataField="1" showAll="0"/>
    <pivotField numFmtId="164" showAll="0">
      <items count="156">
        <item x="111"/>
        <item x="95"/>
        <item x="37"/>
        <item x="93"/>
        <item x="108"/>
        <item x="92"/>
        <item x="66"/>
        <item x="51"/>
        <item x="4"/>
        <item x="45"/>
        <item x="81"/>
        <item x="27"/>
        <item x="86"/>
        <item x="91"/>
        <item x="85"/>
        <item x="43"/>
        <item x="5"/>
        <item x="84"/>
        <item x="70"/>
        <item x="65"/>
        <item x="21"/>
        <item x="56"/>
        <item x="44"/>
        <item x="3"/>
        <item x="112"/>
        <item x="29"/>
        <item x="125"/>
        <item x="143"/>
        <item x="119"/>
        <item x="17"/>
        <item x="145"/>
        <item x="79"/>
        <item x="26"/>
        <item x="96"/>
        <item x="53"/>
        <item x="142"/>
        <item x="135"/>
        <item x="124"/>
        <item x="72"/>
        <item x="33"/>
        <item x="42"/>
        <item x="109"/>
        <item x="107"/>
        <item x="154"/>
        <item x="19"/>
        <item x="102"/>
        <item x="134"/>
        <item x="137"/>
        <item x="39"/>
        <item x="73"/>
        <item x="34"/>
        <item x="7"/>
        <item x="49"/>
        <item x="18"/>
        <item x="121"/>
        <item x="8"/>
        <item x="138"/>
        <item x="123"/>
        <item x="25"/>
        <item x="80"/>
        <item x="132"/>
        <item x="36"/>
        <item x="64"/>
        <item x="126"/>
        <item x="63"/>
        <item x="144"/>
        <item x="110"/>
        <item x="146"/>
        <item x="35"/>
        <item x="106"/>
        <item x="6"/>
        <item x="113"/>
        <item x="122"/>
        <item x="100"/>
        <item x="32"/>
        <item x="98"/>
        <item x="76"/>
        <item x="105"/>
        <item x="128"/>
        <item x="82"/>
        <item x="136"/>
        <item x="15"/>
        <item x="54"/>
        <item x="55"/>
        <item x="11"/>
        <item x="83"/>
        <item x="130"/>
        <item x="133"/>
        <item x="59"/>
        <item x="20"/>
        <item x="116"/>
        <item x="148"/>
        <item x="140"/>
        <item x="0"/>
        <item x="40"/>
        <item x="131"/>
        <item x="50"/>
        <item x="114"/>
        <item x="69"/>
        <item x="28"/>
        <item x="10"/>
        <item x="24"/>
        <item x="58"/>
        <item x="129"/>
        <item x="87"/>
        <item x="23"/>
        <item x="147"/>
        <item x="150"/>
        <item x="117"/>
        <item x="60"/>
        <item x="38"/>
        <item x="101"/>
        <item x="127"/>
        <item x="77"/>
        <item x="61"/>
        <item x="71"/>
        <item x="120"/>
        <item x="1"/>
        <item x="104"/>
        <item x="115"/>
        <item x="67"/>
        <item x="9"/>
        <item x="149"/>
        <item x="47"/>
        <item x="14"/>
        <item x="118"/>
        <item x="48"/>
        <item x="74"/>
        <item x="41"/>
        <item x="2"/>
        <item x="62"/>
        <item x="141"/>
        <item x="97"/>
        <item x="103"/>
        <item x="12"/>
        <item x="152"/>
        <item x="22"/>
        <item x="46"/>
        <item x="16"/>
        <item x="57"/>
        <item x="99"/>
        <item x="78"/>
        <item x="151"/>
        <item x="75"/>
        <item x="153"/>
        <item x="88"/>
        <item x="52"/>
        <item x="31"/>
        <item x="89"/>
        <item x="90"/>
        <item x="68"/>
        <item x="139"/>
        <item x="94"/>
        <item x="13"/>
        <item x="30"/>
        <item t="default"/>
      </items>
    </pivotField>
    <pivotField numFmtId="164" showAll="0"/>
    <pivotField showAll="0">
      <items count="5">
        <item x="0"/>
        <item x="1"/>
        <item x="2"/>
        <item x="3"/>
        <item t="default"/>
      </items>
    </pivotField>
    <pivotField showAll="0">
      <items count="6">
        <item x="4"/>
        <item x="2"/>
        <item x="3"/>
        <item x="1"/>
        <item x="0"/>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Average of Room_Rate" fld="5" subtotal="average" baseField="2" baseItem="0" numFmtId="165"/>
  </dataFields>
  <formats count="1">
    <format dxfId="10">
      <pivotArea outline="0" collapsedLevelsAreSubtotals="1" fieldPosition="0"/>
    </format>
  </formats>
  <chartFormats count="6">
    <chartFormat chart="26"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2" format="3">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1EE91B-8364-4E29-8455-26F1FA225F03}" name="PivotTable3"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G3:H6" firstHeaderRow="1" firstDataRow="1" firstDataCol="1"/>
  <pivotFields count="15">
    <pivotField dataField="1" showAll="0"/>
    <pivotField axis="axisRow" showAll="0">
      <items count="3">
        <item x="1"/>
        <item x="0"/>
        <item t="default"/>
      </items>
    </pivotField>
    <pivotField showAll="0">
      <items count="5">
        <item x="2"/>
        <item x="3"/>
        <item x="1"/>
        <item x="0"/>
        <item t="default"/>
      </items>
    </pivotField>
    <pivotField showAll="0"/>
    <pivotField showAll="0"/>
    <pivotField showAll="0"/>
    <pivotField numFmtId="164" showAll="0">
      <items count="156">
        <item x="111"/>
        <item x="95"/>
        <item x="37"/>
        <item x="93"/>
        <item x="108"/>
        <item x="92"/>
        <item x="66"/>
        <item x="51"/>
        <item x="4"/>
        <item x="45"/>
        <item x="81"/>
        <item x="27"/>
        <item x="86"/>
        <item x="91"/>
        <item x="85"/>
        <item x="43"/>
        <item x="5"/>
        <item x="84"/>
        <item x="70"/>
        <item x="65"/>
        <item x="21"/>
        <item x="56"/>
        <item x="44"/>
        <item x="3"/>
        <item x="112"/>
        <item x="29"/>
        <item x="125"/>
        <item x="143"/>
        <item x="119"/>
        <item x="17"/>
        <item x="145"/>
        <item x="79"/>
        <item x="26"/>
        <item x="96"/>
        <item x="53"/>
        <item x="142"/>
        <item x="135"/>
        <item x="124"/>
        <item x="72"/>
        <item x="33"/>
        <item x="42"/>
        <item x="109"/>
        <item x="107"/>
        <item x="154"/>
        <item x="19"/>
        <item x="102"/>
        <item x="134"/>
        <item x="137"/>
        <item x="39"/>
        <item x="73"/>
        <item x="34"/>
        <item x="7"/>
        <item x="49"/>
        <item x="18"/>
        <item x="121"/>
        <item x="8"/>
        <item x="138"/>
        <item x="123"/>
        <item x="25"/>
        <item x="80"/>
        <item x="132"/>
        <item x="36"/>
        <item x="64"/>
        <item x="126"/>
        <item x="63"/>
        <item x="144"/>
        <item x="110"/>
        <item x="146"/>
        <item x="35"/>
        <item x="106"/>
        <item x="6"/>
        <item x="113"/>
        <item x="122"/>
        <item x="100"/>
        <item x="32"/>
        <item x="98"/>
        <item x="76"/>
        <item x="105"/>
        <item x="128"/>
        <item x="82"/>
        <item x="136"/>
        <item x="15"/>
        <item x="54"/>
        <item x="55"/>
        <item x="11"/>
        <item x="83"/>
        <item x="130"/>
        <item x="133"/>
        <item x="59"/>
        <item x="20"/>
        <item x="116"/>
        <item x="148"/>
        <item x="140"/>
        <item x="0"/>
        <item x="40"/>
        <item x="131"/>
        <item x="50"/>
        <item x="114"/>
        <item x="69"/>
        <item x="28"/>
        <item x="10"/>
        <item x="24"/>
        <item x="58"/>
        <item x="129"/>
        <item x="87"/>
        <item x="23"/>
        <item x="147"/>
        <item x="150"/>
        <item x="117"/>
        <item x="60"/>
        <item x="38"/>
        <item x="101"/>
        <item x="127"/>
        <item x="77"/>
        <item x="61"/>
        <item x="71"/>
        <item x="120"/>
        <item x="1"/>
        <item x="104"/>
        <item x="115"/>
        <item x="67"/>
        <item x="9"/>
        <item x="149"/>
        <item x="47"/>
        <item x="14"/>
        <item x="118"/>
        <item x="48"/>
        <item x="74"/>
        <item x="41"/>
        <item x="2"/>
        <item x="62"/>
        <item x="141"/>
        <item x="97"/>
        <item x="103"/>
        <item x="12"/>
        <item x="152"/>
        <item x="22"/>
        <item x="46"/>
        <item x="16"/>
        <item x="57"/>
        <item x="99"/>
        <item x="78"/>
        <item x="151"/>
        <item x="75"/>
        <item x="153"/>
        <item x="88"/>
        <item x="52"/>
        <item x="31"/>
        <item x="89"/>
        <item x="90"/>
        <item x="68"/>
        <item x="139"/>
        <item x="94"/>
        <item x="13"/>
        <item x="30"/>
        <item t="default"/>
      </items>
    </pivotField>
    <pivotField numFmtId="164" showAll="0"/>
    <pivotField showAll="0">
      <items count="5">
        <item x="0"/>
        <item x="1"/>
        <item x="2"/>
        <item x="3"/>
        <item t="default"/>
      </items>
    </pivotField>
    <pivotField showAll="0">
      <items count="6">
        <item x="4"/>
        <item x="2"/>
        <item x="3"/>
        <item x="1"/>
        <item x="0"/>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3">
    <i>
      <x/>
    </i>
    <i>
      <x v="1"/>
    </i>
    <i t="grand">
      <x/>
    </i>
  </rowItems>
  <colItems count="1">
    <i/>
  </colItems>
  <dataFields count="1">
    <dataField name="Count of Booking_ID" fld="0" subtotal="count" baseField="0" baseItem="0"/>
  </dataFields>
  <formats count="1">
    <format dxfId="11">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9" format="10"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1" count="1" selected="0">
            <x v="0"/>
          </reference>
        </references>
      </pivotArea>
    </chartFormat>
    <chartFormat chart="0" format="6">
      <pivotArea type="data" outline="0" fieldPosition="0">
        <references count="2">
          <reference field="4294967294" count="1" selected="0">
            <x v="0"/>
          </reference>
          <reference field="1" count="1" selected="0">
            <x v="1"/>
          </reference>
        </references>
      </pivotArea>
    </chartFormat>
    <chartFormat chart="9" format="15">
      <pivotArea type="data" outline="0" fieldPosition="0">
        <references count="2">
          <reference field="4294967294" count="1" selected="0">
            <x v="0"/>
          </reference>
          <reference field="1" count="1" selected="0">
            <x v="1"/>
          </reference>
        </references>
      </pivotArea>
    </chartFormat>
    <chartFormat chart="9" format="16">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DCFFF3-9856-4D59-A4DE-E85AB67BAE68}" name="PivotTable5"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1:B16" firstHeaderRow="1" firstDataRow="1" firstDataCol="1"/>
  <pivotFields count="15">
    <pivotField showAll="0"/>
    <pivotField showAll="0">
      <items count="3">
        <item x="1"/>
        <item x="0"/>
        <item t="default"/>
      </items>
    </pivotField>
    <pivotField showAll="0">
      <items count="5">
        <item x="2"/>
        <item x="3"/>
        <item x="1"/>
        <item x="0"/>
        <item t="default"/>
      </items>
    </pivotField>
    <pivotField showAll="0"/>
    <pivotField showAll="0"/>
    <pivotField showAll="0"/>
    <pivotField numFmtId="164" showAll="0">
      <items count="156">
        <item x="111"/>
        <item x="95"/>
        <item x="37"/>
        <item x="93"/>
        <item x="108"/>
        <item x="92"/>
        <item x="66"/>
        <item x="51"/>
        <item x="4"/>
        <item x="45"/>
        <item x="81"/>
        <item x="27"/>
        <item x="86"/>
        <item x="91"/>
        <item x="85"/>
        <item x="43"/>
        <item x="5"/>
        <item x="84"/>
        <item x="70"/>
        <item x="65"/>
        <item x="21"/>
        <item x="56"/>
        <item x="44"/>
        <item x="3"/>
        <item x="112"/>
        <item x="29"/>
        <item x="125"/>
        <item x="143"/>
        <item x="119"/>
        <item x="17"/>
        <item x="145"/>
        <item x="79"/>
        <item x="26"/>
        <item x="96"/>
        <item x="53"/>
        <item x="142"/>
        <item x="135"/>
        <item x="124"/>
        <item x="72"/>
        <item x="33"/>
        <item x="42"/>
        <item x="109"/>
        <item x="107"/>
        <item x="154"/>
        <item x="19"/>
        <item x="102"/>
        <item x="134"/>
        <item x="137"/>
        <item x="39"/>
        <item x="73"/>
        <item x="34"/>
        <item x="7"/>
        <item x="49"/>
        <item x="18"/>
        <item x="121"/>
        <item x="8"/>
        <item x="138"/>
        <item x="123"/>
        <item x="25"/>
        <item x="80"/>
        <item x="132"/>
        <item x="36"/>
        <item x="64"/>
        <item x="126"/>
        <item x="63"/>
        <item x="144"/>
        <item x="110"/>
        <item x="146"/>
        <item x="35"/>
        <item x="106"/>
        <item x="6"/>
        <item x="113"/>
        <item x="122"/>
        <item x="100"/>
        <item x="32"/>
        <item x="98"/>
        <item x="76"/>
        <item x="105"/>
        <item x="128"/>
        <item x="82"/>
        <item x="136"/>
        <item x="15"/>
        <item x="54"/>
        <item x="55"/>
        <item x="11"/>
        <item x="83"/>
        <item x="130"/>
        <item x="133"/>
        <item x="59"/>
        <item x="20"/>
        <item x="116"/>
        <item x="148"/>
        <item x="140"/>
        <item x="0"/>
        <item x="40"/>
        <item x="131"/>
        <item x="50"/>
        <item x="114"/>
        <item x="69"/>
        <item x="28"/>
        <item x="10"/>
        <item x="24"/>
        <item x="58"/>
        <item x="129"/>
        <item x="87"/>
        <item x="23"/>
        <item x="147"/>
        <item x="150"/>
        <item x="117"/>
        <item x="60"/>
        <item x="38"/>
        <item x="101"/>
        <item x="127"/>
        <item x="77"/>
        <item x="61"/>
        <item x="71"/>
        <item x="120"/>
        <item x="1"/>
        <item x="104"/>
        <item x="115"/>
        <item x="67"/>
        <item x="9"/>
        <item x="149"/>
        <item x="47"/>
        <item x="14"/>
        <item x="118"/>
        <item x="48"/>
        <item x="74"/>
        <item x="41"/>
        <item x="2"/>
        <item x="62"/>
        <item x="141"/>
        <item x="97"/>
        <item x="103"/>
        <item x="12"/>
        <item x="152"/>
        <item x="22"/>
        <item x="46"/>
        <item x="16"/>
        <item x="57"/>
        <item x="99"/>
        <item x="78"/>
        <item x="151"/>
        <item x="75"/>
        <item x="153"/>
        <item x="88"/>
        <item x="52"/>
        <item x="31"/>
        <item x="89"/>
        <item x="90"/>
        <item x="68"/>
        <item x="139"/>
        <item x="94"/>
        <item x="13"/>
        <item x="30"/>
        <item t="default"/>
      </items>
    </pivotField>
    <pivotField numFmtId="164" showAll="0"/>
    <pivotField axis="axisRow" dataField="1" showAll="0">
      <items count="5">
        <item x="0"/>
        <item x="1"/>
        <item x="2"/>
        <item x="3"/>
        <item t="default"/>
      </items>
    </pivotField>
    <pivotField showAll="0">
      <items count="6">
        <item x="4"/>
        <item x="2"/>
        <item x="3"/>
        <item x="1"/>
        <item x="0"/>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t="grand">
      <x/>
    </i>
  </rowItems>
  <colItems count="1">
    <i/>
  </colItems>
  <dataFields count="1">
    <dataField name="Count of Booking_Status" fld="8" subtotal="count" baseField="0" baseItem="0"/>
  </dataFields>
  <formats count="1">
    <format dxfId="12">
      <pivotArea outline="0" collapsedLevelsAreSubtotals="1" fieldPosition="0"/>
    </format>
  </formats>
  <chartFormats count="5">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8" count="1" selected="0">
            <x v="3"/>
          </reference>
        </references>
      </pivotArea>
    </chartFormat>
    <chartFormat chart="7" format="4">
      <pivotArea type="data" outline="0" fieldPosition="0">
        <references count="2">
          <reference field="4294967294" count="1" selected="0">
            <x v="0"/>
          </reference>
          <reference field="8" count="1" selected="0">
            <x v="2"/>
          </reference>
        </references>
      </pivotArea>
    </chartFormat>
    <chartFormat chart="7" format="5">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6739CC-41AB-41ED-9F2E-B3F92DED5E61}" name="PivotTable8"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J11:K24" firstHeaderRow="1" firstDataRow="1" firstDataCol="1"/>
  <pivotFields count="15">
    <pivotField showAll="0"/>
    <pivotField showAll="0">
      <items count="3">
        <item x="1"/>
        <item x="0"/>
        <item t="default"/>
      </items>
    </pivotField>
    <pivotField showAll="0">
      <items count="5">
        <item x="2"/>
        <item x="3"/>
        <item x="1"/>
        <item x="0"/>
        <item t="default"/>
      </items>
    </pivotField>
    <pivotField showAll="0"/>
    <pivotField showAll="0"/>
    <pivotField showAll="0"/>
    <pivotField numFmtId="164" showAll="0">
      <items count="156">
        <item x="111"/>
        <item x="95"/>
        <item x="37"/>
        <item x="93"/>
        <item x="108"/>
        <item x="92"/>
        <item x="66"/>
        <item x="51"/>
        <item x="4"/>
        <item x="45"/>
        <item x="81"/>
        <item x="27"/>
        <item x="86"/>
        <item x="91"/>
        <item x="85"/>
        <item x="43"/>
        <item x="5"/>
        <item x="84"/>
        <item x="70"/>
        <item x="65"/>
        <item x="21"/>
        <item x="56"/>
        <item x="44"/>
        <item x="3"/>
        <item x="112"/>
        <item x="29"/>
        <item x="125"/>
        <item x="143"/>
        <item x="119"/>
        <item x="17"/>
        <item x="145"/>
        <item x="79"/>
        <item x="26"/>
        <item x="96"/>
        <item x="53"/>
        <item x="142"/>
        <item x="135"/>
        <item x="124"/>
        <item x="72"/>
        <item x="33"/>
        <item x="42"/>
        <item x="109"/>
        <item x="107"/>
        <item x="154"/>
        <item x="19"/>
        <item x="102"/>
        <item x="134"/>
        <item x="137"/>
        <item x="39"/>
        <item x="73"/>
        <item x="34"/>
        <item x="7"/>
        <item x="49"/>
        <item x="18"/>
        <item x="121"/>
        <item x="8"/>
        <item x="138"/>
        <item x="123"/>
        <item x="25"/>
        <item x="80"/>
        <item x="132"/>
        <item x="36"/>
        <item x="64"/>
        <item x="126"/>
        <item x="63"/>
        <item x="144"/>
        <item x="110"/>
        <item x="146"/>
        <item x="35"/>
        <item x="106"/>
        <item x="6"/>
        <item x="113"/>
        <item x="122"/>
        <item x="100"/>
        <item x="32"/>
        <item x="98"/>
        <item x="76"/>
        <item x="105"/>
        <item x="128"/>
        <item x="82"/>
        <item x="136"/>
        <item x="15"/>
        <item x="54"/>
        <item x="55"/>
        <item x="11"/>
        <item x="83"/>
        <item x="130"/>
        <item x="133"/>
        <item x="59"/>
        <item x="20"/>
        <item x="116"/>
        <item x="148"/>
        <item x="140"/>
        <item x="0"/>
        <item x="40"/>
        <item x="131"/>
        <item x="50"/>
        <item x="114"/>
        <item x="69"/>
        <item x="28"/>
        <item x="10"/>
        <item x="24"/>
        <item x="58"/>
        <item x="129"/>
        <item x="87"/>
        <item x="23"/>
        <item x="147"/>
        <item x="150"/>
        <item x="117"/>
        <item x="60"/>
        <item x="38"/>
        <item x="101"/>
        <item x="127"/>
        <item x="77"/>
        <item x="61"/>
        <item x="71"/>
        <item x="120"/>
        <item x="1"/>
        <item x="104"/>
        <item x="115"/>
        <item x="67"/>
        <item x="9"/>
        <item x="149"/>
        <item x="47"/>
        <item x="14"/>
        <item x="118"/>
        <item x="48"/>
        <item x="74"/>
        <item x="41"/>
        <item x="2"/>
        <item x="62"/>
        <item x="141"/>
        <item x="97"/>
        <item x="103"/>
        <item x="12"/>
        <item x="152"/>
        <item x="22"/>
        <item x="46"/>
        <item x="16"/>
        <item x="57"/>
        <item x="99"/>
        <item x="78"/>
        <item x="151"/>
        <item x="75"/>
        <item x="153"/>
        <item x="88"/>
        <item x="52"/>
        <item x="31"/>
        <item x="89"/>
        <item x="90"/>
        <item x="68"/>
        <item x="139"/>
        <item x="94"/>
        <item x="13"/>
        <item x="30"/>
        <item t="default"/>
      </items>
    </pivotField>
    <pivotField numFmtId="164" showAll="0"/>
    <pivotField showAll="0">
      <items count="5">
        <item x="0"/>
        <item x="1"/>
        <item x="2"/>
        <item x="3"/>
        <item t="default"/>
      </items>
    </pivotField>
    <pivotField showAll="0">
      <items count="6">
        <item x="4"/>
        <item x="2"/>
        <item x="3"/>
        <item x="1"/>
        <item x="0"/>
        <item t="default"/>
      </items>
    </pivotField>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Total Bill" fld="11" baseField="0" baseItem="0" numFmtId="165"/>
  </dataFields>
  <formats count="1">
    <format dxfId="13">
      <pivotArea outline="0" collapsedLevelsAreSubtotals="1" fieldPosition="0"/>
    </format>
  </formats>
  <chartFormats count="14">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14" count="1" selected="0">
            <x v="1"/>
          </reference>
        </references>
      </pivotArea>
    </chartFormat>
    <chartFormat chart="24" format="4">
      <pivotArea type="data" outline="0" fieldPosition="0">
        <references count="2">
          <reference field="4294967294" count="1" selected="0">
            <x v="0"/>
          </reference>
          <reference field="14" count="1" selected="0">
            <x v="2"/>
          </reference>
        </references>
      </pivotArea>
    </chartFormat>
    <chartFormat chart="24" format="5">
      <pivotArea type="data" outline="0" fieldPosition="0">
        <references count="2">
          <reference field="4294967294" count="1" selected="0">
            <x v="0"/>
          </reference>
          <reference field="14" count="1" selected="0">
            <x v="3"/>
          </reference>
        </references>
      </pivotArea>
    </chartFormat>
    <chartFormat chart="24" format="6">
      <pivotArea type="data" outline="0" fieldPosition="0">
        <references count="2">
          <reference field="4294967294" count="1" selected="0">
            <x v="0"/>
          </reference>
          <reference field="14" count="1" selected="0">
            <x v="4"/>
          </reference>
        </references>
      </pivotArea>
    </chartFormat>
    <chartFormat chart="24" format="7">
      <pivotArea type="data" outline="0" fieldPosition="0">
        <references count="2">
          <reference field="4294967294" count="1" selected="0">
            <x v="0"/>
          </reference>
          <reference field="14" count="1" selected="0">
            <x v="5"/>
          </reference>
        </references>
      </pivotArea>
    </chartFormat>
    <chartFormat chart="24" format="8">
      <pivotArea type="data" outline="0" fieldPosition="0">
        <references count="2">
          <reference field="4294967294" count="1" selected="0">
            <x v="0"/>
          </reference>
          <reference field="14" count="1" selected="0">
            <x v="6"/>
          </reference>
        </references>
      </pivotArea>
    </chartFormat>
    <chartFormat chart="24" format="9">
      <pivotArea type="data" outline="0" fieldPosition="0">
        <references count="2">
          <reference field="4294967294" count="1" selected="0">
            <x v="0"/>
          </reference>
          <reference field="14" count="1" selected="0">
            <x v="7"/>
          </reference>
        </references>
      </pivotArea>
    </chartFormat>
    <chartFormat chart="24" format="10">
      <pivotArea type="data" outline="0" fieldPosition="0">
        <references count="2">
          <reference field="4294967294" count="1" selected="0">
            <x v="0"/>
          </reference>
          <reference field="14" count="1" selected="0">
            <x v="8"/>
          </reference>
        </references>
      </pivotArea>
    </chartFormat>
    <chartFormat chart="24" format="11">
      <pivotArea type="data" outline="0" fieldPosition="0">
        <references count="2">
          <reference field="4294967294" count="1" selected="0">
            <x v="0"/>
          </reference>
          <reference field="14" count="1" selected="0">
            <x v="9"/>
          </reference>
        </references>
      </pivotArea>
    </chartFormat>
    <chartFormat chart="24" format="12">
      <pivotArea type="data" outline="0" fieldPosition="0">
        <references count="2">
          <reference field="4294967294" count="1" selected="0">
            <x v="0"/>
          </reference>
          <reference field="14" count="1" selected="0">
            <x v="10"/>
          </reference>
        </references>
      </pivotArea>
    </chartFormat>
    <chartFormat chart="24" format="13">
      <pivotArea type="data" outline="0" fieldPosition="0">
        <references count="2">
          <reference field="4294967294" count="1" selected="0">
            <x v="0"/>
          </reference>
          <reference field="14" count="1" selected="0">
            <x v="11"/>
          </reference>
        </references>
      </pivotArea>
    </chartFormat>
    <chartFormat chart="24" format="14">
      <pivotArea type="data" outline="0" fieldPosition="0">
        <references count="2">
          <reference field="4294967294" count="1" selected="0">
            <x v="0"/>
          </reference>
          <reference field="14"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A74790-F001-4DDC-BD83-7758A3E6DD64}" name="PivotTable4"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J3:K8" firstHeaderRow="1" firstDataRow="1" firstDataCol="1"/>
  <pivotFields count="15">
    <pivotField dataField="1" showAll="0"/>
    <pivotField showAll="0">
      <items count="3">
        <item x="1"/>
        <item x="0"/>
        <item t="default"/>
      </items>
    </pivotField>
    <pivotField axis="axisRow" showAll="0">
      <items count="5">
        <item x="2"/>
        <item x="3"/>
        <item x="1"/>
        <item x="0"/>
        <item t="default"/>
      </items>
    </pivotField>
    <pivotField showAll="0"/>
    <pivotField showAll="0"/>
    <pivotField showAll="0"/>
    <pivotField numFmtId="164" showAll="0">
      <items count="156">
        <item x="111"/>
        <item x="95"/>
        <item x="37"/>
        <item x="93"/>
        <item x="108"/>
        <item x="92"/>
        <item x="66"/>
        <item x="51"/>
        <item x="4"/>
        <item x="45"/>
        <item x="81"/>
        <item x="27"/>
        <item x="86"/>
        <item x="91"/>
        <item x="85"/>
        <item x="43"/>
        <item x="5"/>
        <item x="84"/>
        <item x="70"/>
        <item x="65"/>
        <item x="21"/>
        <item x="56"/>
        <item x="44"/>
        <item x="3"/>
        <item x="112"/>
        <item x="29"/>
        <item x="125"/>
        <item x="143"/>
        <item x="119"/>
        <item x="17"/>
        <item x="145"/>
        <item x="79"/>
        <item x="26"/>
        <item x="96"/>
        <item x="53"/>
        <item x="142"/>
        <item x="135"/>
        <item x="124"/>
        <item x="72"/>
        <item x="33"/>
        <item x="42"/>
        <item x="109"/>
        <item x="107"/>
        <item x="154"/>
        <item x="19"/>
        <item x="102"/>
        <item x="134"/>
        <item x="137"/>
        <item x="39"/>
        <item x="73"/>
        <item x="34"/>
        <item x="7"/>
        <item x="49"/>
        <item x="18"/>
        <item x="121"/>
        <item x="8"/>
        <item x="138"/>
        <item x="123"/>
        <item x="25"/>
        <item x="80"/>
        <item x="132"/>
        <item x="36"/>
        <item x="64"/>
        <item x="126"/>
        <item x="63"/>
        <item x="144"/>
        <item x="110"/>
        <item x="146"/>
        <item x="35"/>
        <item x="106"/>
        <item x="6"/>
        <item x="113"/>
        <item x="122"/>
        <item x="100"/>
        <item x="32"/>
        <item x="98"/>
        <item x="76"/>
        <item x="105"/>
        <item x="128"/>
        <item x="82"/>
        <item x="136"/>
        <item x="15"/>
        <item x="54"/>
        <item x="55"/>
        <item x="11"/>
        <item x="83"/>
        <item x="130"/>
        <item x="133"/>
        <item x="59"/>
        <item x="20"/>
        <item x="116"/>
        <item x="148"/>
        <item x="140"/>
        <item x="0"/>
        <item x="40"/>
        <item x="131"/>
        <item x="50"/>
        <item x="114"/>
        <item x="69"/>
        <item x="28"/>
        <item x="10"/>
        <item x="24"/>
        <item x="58"/>
        <item x="129"/>
        <item x="87"/>
        <item x="23"/>
        <item x="147"/>
        <item x="150"/>
        <item x="117"/>
        <item x="60"/>
        <item x="38"/>
        <item x="101"/>
        <item x="127"/>
        <item x="77"/>
        <item x="61"/>
        <item x="71"/>
        <item x="120"/>
        <item x="1"/>
        <item x="104"/>
        <item x="115"/>
        <item x="67"/>
        <item x="9"/>
        <item x="149"/>
        <item x="47"/>
        <item x="14"/>
        <item x="118"/>
        <item x="48"/>
        <item x="74"/>
        <item x="41"/>
        <item x="2"/>
        <item x="62"/>
        <item x="141"/>
        <item x="97"/>
        <item x="103"/>
        <item x="12"/>
        <item x="152"/>
        <item x="22"/>
        <item x="46"/>
        <item x="16"/>
        <item x="57"/>
        <item x="99"/>
        <item x="78"/>
        <item x="151"/>
        <item x="75"/>
        <item x="153"/>
        <item x="88"/>
        <item x="52"/>
        <item x="31"/>
        <item x="89"/>
        <item x="90"/>
        <item x="68"/>
        <item x="139"/>
        <item x="94"/>
        <item x="13"/>
        <item x="30"/>
        <item t="default"/>
      </items>
    </pivotField>
    <pivotField numFmtId="164" showAll="0"/>
    <pivotField showAll="0">
      <items count="5">
        <item x="0"/>
        <item x="1"/>
        <item x="2"/>
        <item x="3"/>
        <item t="default"/>
      </items>
    </pivotField>
    <pivotField showAll="0">
      <items count="6">
        <item x="4"/>
        <item x="2"/>
        <item x="3"/>
        <item x="1"/>
        <item x="0"/>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Count of Booking_ID" fld="0" subtotal="count" baseField="0" baseItem="0"/>
  </dataFields>
  <formats count="1">
    <format dxfId="14">
      <pivotArea outline="0" collapsedLevelsAreSubtotals="1" fieldPosition="0"/>
    </format>
  </formats>
  <chartFormats count="2">
    <chartFormat chart="7"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1478BF2-2D01-429D-976F-B9909752C17A}" name="PivotTable9"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D17:E20" firstHeaderRow="1" firstDataRow="1" firstDataCol="1"/>
  <pivotFields count="15">
    <pivotField showAll="0"/>
    <pivotField axis="axisRow" showAll="0">
      <items count="3">
        <item x="1"/>
        <item x="0"/>
        <item t="default"/>
      </items>
    </pivotField>
    <pivotField showAll="0">
      <items count="5">
        <item x="2"/>
        <item x="3"/>
        <item x="1"/>
        <item x="0"/>
        <item t="default"/>
      </items>
    </pivotField>
    <pivotField showAll="0"/>
    <pivotField showAll="0"/>
    <pivotField showAll="0"/>
    <pivotField numFmtId="164" showAll="0">
      <items count="156">
        <item x="111"/>
        <item x="95"/>
        <item x="37"/>
        <item x="93"/>
        <item x="108"/>
        <item x="92"/>
        <item x="66"/>
        <item x="51"/>
        <item x="4"/>
        <item x="45"/>
        <item x="81"/>
        <item x="27"/>
        <item x="86"/>
        <item x="91"/>
        <item x="85"/>
        <item x="43"/>
        <item x="5"/>
        <item x="84"/>
        <item x="70"/>
        <item x="65"/>
        <item x="21"/>
        <item x="56"/>
        <item x="44"/>
        <item x="3"/>
        <item x="112"/>
        <item x="29"/>
        <item x="125"/>
        <item x="143"/>
        <item x="119"/>
        <item x="17"/>
        <item x="145"/>
        <item x="79"/>
        <item x="26"/>
        <item x="96"/>
        <item x="53"/>
        <item x="142"/>
        <item x="135"/>
        <item x="124"/>
        <item x="72"/>
        <item x="33"/>
        <item x="42"/>
        <item x="109"/>
        <item x="107"/>
        <item x="154"/>
        <item x="19"/>
        <item x="102"/>
        <item x="134"/>
        <item x="137"/>
        <item x="39"/>
        <item x="73"/>
        <item x="34"/>
        <item x="7"/>
        <item x="49"/>
        <item x="18"/>
        <item x="121"/>
        <item x="8"/>
        <item x="138"/>
        <item x="123"/>
        <item x="25"/>
        <item x="80"/>
        <item x="132"/>
        <item x="36"/>
        <item x="64"/>
        <item x="126"/>
        <item x="63"/>
        <item x="144"/>
        <item x="110"/>
        <item x="146"/>
        <item x="35"/>
        <item x="106"/>
        <item x="6"/>
        <item x="113"/>
        <item x="122"/>
        <item x="100"/>
        <item x="32"/>
        <item x="98"/>
        <item x="76"/>
        <item x="105"/>
        <item x="128"/>
        <item x="82"/>
        <item x="136"/>
        <item x="15"/>
        <item x="54"/>
        <item x="55"/>
        <item x="11"/>
        <item x="83"/>
        <item x="130"/>
        <item x="133"/>
        <item x="59"/>
        <item x="20"/>
        <item x="116"/>
        <item x="148"/>
        <item x="140"/>
        <item x="0"/>
        <item x="40"/>
        <item x="131"/>
        <item x="50"/>
        <item x="114"/>
        <item x="69"/>
        <item x="28"/>
        <item x="10"/>
        <item x="24"/>
        <item x="58"/>
        <item x="129"/>
        <item x="87"/>
        <item x="23"/>
        <item x="147"/>
        <item x="150"/>
        <item x="117"/>
        <item x="60"/>
        <item x="38"/>
        <item x="101"/>
        <item x="127"/>
        <item x="77"/>
        <item x="61"/>
        <item x="71"/>
        <item x="120"/>
        <item x="1"/>
        <item x="104"/>
        <item x="115"/>
        <item x="67"/>
        <item x="9"/>
        <item x="149"/>
        <item x="47"/>
        <item x="14"/>
        <item x="118"/>
        <item x="48"/>
        <item x="74"/>
        <item x="41"/>
        <item x="2"/>
        <item x="62"/>
        <item x="141"/>
        <item x="97"/>
        <item x="103"/>
        <item x="12"/>
        <item x="152"/>
        <item x="22"/>
        <item x="46"/>
        <item x="16"/>
        <item x="57"/>
        <item x="99"/>
        <item x="78"/>
        <item x="151"/>
        <item x="75"/>
        <item x="153"/>
        <item x="88"/>
        <item x="52"/>
        <item x="31"/>
        <item x="89"/>
        <item x="90"/>
        <item x="68"/>
        <item x="139"/>
        <item x="94"/>
        <item x="13"/>
        <item x="30"/>
        <item t="default"/>
      </items>
    </pivotField>
    <pivotField numFmtId="164" showAll="0"/>
    <pivotField showAll="0">
      <items count="5">
        <item x="0"/>
        <item x="1"/>
        <item x="2"/>
        <item x="3"/>
        <item t="default"/>
      </items>
    </pivotField>
    <pivotField dataField="1" showAll="0">
      <items count="6">
        <item x="4"/>
        <item x="2"/>
        <item x="3"/>
        <item x="1"/>
        <item x="0"/>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3">
    <i>
      <x/>
    </i>
    <i>
      <x v="1"/>
    </i>
    <i t="grand">
      <x/>
    </i>
  </rowItems>
  <colItems count="1">
    <i/>
  </colItems>
  <dataFields count="1">
    <dataField name="Average of Rating" fld="9" subtotal="average" baseField="1" baseItem="0"/>
  </dataFields>
  <formats count="1">
    <format dxfId="15">
      <pivotArea outline="0" collapsedLevelsAreSubtotals="1" fieldPosition="0"/>
    </format>
  </formats>
  <chartFormats count="6">
    <chartFormat chart="27" format="0" series="1">
      <pivotArea type="data" outline="0" fieldPosition="0">
        <references count="1">
          <reference field="4294967294" count="1" selected="0">
            <x v="0"/>
          </reference>
        </references>
      </pivotArea>
    </chartFormat>
    <chartFormat chart="27" format="1">
      <pivotArea type="data" outline="0" fieldPosition="0">
        <references count="2">
          <reference field="4294967294" count="1" selected="0">
            <x v="0"/>
          </reference>
          <reference field="1" count="1" selected="0">
            <x v="0"/>
          </reference>
        </references>
      </pivotArea>
    </chartFormat>
    <chartFormat chart="27" format="2">
      <pivotArea type="data" outline="0" fieldPosition="0">
        <references count="2">
          <reference field="4294967294" count="1" selected="0">
            <x v="0"/>
          </reference>
          <reference field="1" count="1" selected="0">
            <x v="1"/>
          </reference>
        </references>
      </pivotArea>
    </chartFormat>
    <chartFormat chart="30" format="6" series="1">
      <pivotArea type="data" outline="0" fieldPosition="0">
        <references count="1">
          <reference field="4294967294" count="1" selected="0">
            <x v="0"/>
          </reference>
        </references>
      </pivotArea>
    </chartFormat>
    <chartFormat chart="30" format="7">
      <pivotArea type="data" outline="0" fieldPosition="0">
        <references count="2">
          <reference field="4294967294" count="1" selected="0">
            <x v="0"/>
          </reference>
          <reference field="1" count="1" selected="0">
            <x v="0"/>
          </reference>
        </references>
      </pivotArea>
    </chartFormat>
    <chartFormat chart="30"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tel_Type" xr10:uid="{D3647A83-BAFC-4037-A600-33777CD691C6}" sourceName="Hotel_Type">
  <pivotTables>
    <pivotTable tabId="4" name="PivotTable1"/>
    <pivotTable tabId="4" name="PivotTable10"/>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131561845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Type" xr10:uid="{55BFD15F-1A17-4738-A345-4ACD6259E654}" sourceName="Room_Type">
  <pivotTables>
    <pivotTable tabId="4" name="PivotTable1"/>
    <pivotTable tabId="4" name="PivotTable10"/>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1315618451">
      <items count="4">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Status" xr10:uid="{47252C6F-2209-4F5E-810E-34C8DBBBDCB8}" sourceName="Booking_Status">
  <pivotTables>
    <pivotTable tabId="4" name="PivotTable1"/>
    <pivotTable tabId="4" name="PivotTable10"/>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1315618451">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C7F76F5B-C223-4BA1-8943-EAC760032E43}" sourceName="Rating">
  <pivotTables>
    <pivotTable tabId="4" name="PivotTable1"/>
    <pivotTable tabId="4" name="PivotTable10"/>
    <pivotTable tabId="4" name="PivotTable2"/>
    <pivotTable tabId="4" name="PivotTable3"/>
    <pivotTable tabId="4" name="PivotTable4"/>
    <pivotTable tabId="4" name="PivotTable5"/>
    <pivotTable tabId="4" name="PivotTable7"/>
    <pivotTable tabId="4" name="PivotTable8"/>
    <pivotTable tabId="4" name="PivotTable9"/>
  </pivotTables>
  <data>
    <tabular pivotCacheId="1315618451">
      <items count="5">
        <i x="4" s="1"/>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tel_Type" xr10:uid="{9D260A30-235A-420E-824E-1B63A3B0602F}" cache="Slicer_Hotel_Type" caption="Hotel_Type" rowHeight="234950"/>
  <slicer name="Room_Type" xr10:uid="{C0413B52-3464-4D62-A1FC-20C9A5081C03}" cache="Slicer_Room_Type" caption="Room_Type" columnCount="2" rowHeight="234950"/>
  <slicer name="Booking_Status" xr10:uid="{12B79662-7CE1-415E-AC58-EF77CCD5AED4}" cache="Slicer_Booking_Status" caption="Booking_Status" rowHeight="234950"/>
  <slicer name="Rating" xr10:uid="{F3349C0E-9EEA-459D-A660-5DE7E9C2BA36}" cache="Slicer_Rating" caption="Rating" columnCount="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tel_Type 1" xr10:uid="{A746DC17-C828-4B0E-ABA6-7390F0CCA3AD}" cache="Slicer_Hotel_Type" caption="Hotel_Type" style="SlicerStyleDark1 2" rowHeight="234950"/>
  <slicer name="Room_Type 1" xr10:uid="{4EEFF81C-737A-46AE-AE5F-5A5D7EB18DAE}" cache="Slicer_Room_Type" caption="Room_Type" columnCount="2" style="SlicerStyleDark1 2" rowHeight="234950"/>
  <slicer name="Booking_Status 1" xr10:uid="{AD678F4B-D224-46E9-8040-AA810351BF2B}" cache="Slicer_Booking_Status" caption="Booking_Status" startItem="2" style="SlicerStyleDark1 2" rowHeight="234950"/>
  <slicer name="Rating 1" xr10:uid="{EFF528D9-617A-479C-B0D2-597BF0E657F6}" cache="Slicer_Rating" caption="Rating" columnCount="3" style="SlicerStyleDark1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CB09D-D411-4A34-9C4B-53CEFFA13FDF}">
  <dimension ref="A3:N24"/>
  <sheetViews>
    <sheetView workbookViewId="0">
      <selection activeCell="B5" sqref="B5"/>
    </sheetView>
  </sheetViews>
  <sheetFormatPr defaultRowHeight="14.4" x14ac:dyDescent="0.3"/>
  <cols>
    <col min="1" max="1" width="12.5546875" bestFit="1" customWidth="1"/>
    <col min="2" max="2" width="22.21875" bestFit="1" customWidth="1"/>
    <col min="3" max="3" width="11.77734375" bestFit="1" customWidth="1"/>
    <col min="4" max="4" width="12.5546875" bestFit="1" customWidth="1"/>
    <col min="5" max="5" width="16" bestFit="1" customWidth="1"/>
    <col min="6" max="6" width="10.77734375" bestFit="1" customWidth="1"/>
    <col min="7" max="7" width="12.5546875" bestFit="1" customWidth="1"/>
    <col min="8" max="8" width="14.6640625" bestFit="1" customWidth="1"/>
    <col min="10" max="10" width="12.5546875" bestFit="1" customWidth="1"/>
    <col min="11" max="11" width="14.6640625" bestFit="1" customWidth="1"/>
    <col min="13" max="13" width="12.5546875" bestFit="1" customWidth="1"/>
    <col min="14" max="14" width="20.5546875" bestFit="1" customWidth="1"/>
  </cols>
  <sheetData>
    <row r="3" spans="1:14" x14ac:dyDescent="0.3">
      <c r="A3" s="8" t="s">
        <v>232</v>
      </c>
      <c r="D3" s="8" t="s">
        <v>225</v>
      </c>
      <c r="E3" t="s">
        <v>227</v>
      </c>
      <c r="G3" s="8" t="s">
        <v>225</v>
      </c>
      <c r="H3" t="s">
        <v>227</v>
      </c>
      <c r="J3" s="8" t="s">
        <v>225</v>
      </c>
      <c r="K3" t="s">
        <v>227</v>
      </c>
    </row>
    <row r="4" spans="1:14" x14ac:dyDescent="0.3">
      <c r="A4" s="9" t="s">
        <v>227</v>
      </c>
      <c r="B4" s="10">
        <v>200</v>
      </c>
      <c r="D4" s="9" t="s">
        <v>13</v>
      </c>
      <c r="E4" s="10">
        <v>45</v>
      </c>
      <c r="G4" s="9" t="s">
        <v>17</v>
      </c>
      <c r="H4" s="10">
        <v>102</v>
      </c>
      <c r="J4" s="9" t="s">
        <v>18</v>
      </c>
      <c r="K4" s="10">
        <v>54</v>
      </c>
    </row>
    <row r="5" spans="1:14" x14ac:dyDescent="0.3">
      <c r="A5" s="9" t="s">
        <v>228</v>
      </c>
      <c r="B5" s="14">
        <v>6549111</v>
      </c>
      <c r="D5" s="9" t="s">
        <v>19</v>
      </c>
      <c r="E5" s="10">
        <v>62</v>
      </c>
      <c r="G5" s="9" t="s">
        <v>11</v>
      </c>
      <c r="H5" s="10">
        <v>98</v>
      </c>
      <c r="J5" s="9" t="s">
        <v>30</v>
      </c>
      <c r="K5" s="10">
        <v>33</v>
      </c>
    </row>
    <row r="6" spans="1:14" x14ac:dyDescent="0.3">
      <c r="A6" s="9" t="s">
        <v>229</v>
      </c>
      <c r="B6" s="11">
        <v>7638.8450000000003</v>
      </c>
      <c r="D6" s="9" t="s">
        <v>21</v>
      </c>
      <c r="E6" s="10">
        <v>47</v>
      </c>
      <c r="G6" s="9" t="s">
        <v>226</v>
      </c>
      <c r="H6" s="10">
        <v>200</v>
      </c>
      <c r="J6" s="9" t="s">
        <v>15</v>
      </c>
      <c r="K6" s="10">
        <v>57</v>
      </c>
    </row>
    <row r="7" spans="1:14" x14ac:dyDescent="0.3">
      <c r="A7" s="9" t="s">
        <v>230</v>
      </c>
      <c r="B7" s="12">
        <v>2.9049999999999998</v>
      </c>
      <c r="D7" s="9" t="s">
        <v>23</v>
      </c>
      <c r="E7" s="10">
        <v>46</v>
      </c>
      <c r="J7" s="9" t="s">
        <v>12</v>
      </c>
      <c r="K7" s="10">
        <v>56</v>
      </c>
    </row>
    <row r="8" spans="1:14" x14ac:dyDescent="0.3">
      <c r="A8" s="9" t="s">
        <v>231</v>
      </c>
      <c r="B8" s="12">
        <v>4.3</v>
      </c>
      <c r="D8" s="9" t="s">
        <v>226</v>
      </c>
      <c r="E8" s="10">
        <v>200</v>
      </c>
      <c r="J8" s="9" t="s">
        <v>226</v>
      </c>
      <c r="K8" s="10">
        <v>200</v>
      </c>
    </row>
    <row r="9" spans="1:14" x14ac:dyDescent="0.3">
      <c r="D9" s="9" t="s">
        <v>233</v>
      </c>
      <c r="E9" s="13">
        <f>E4/E8</f>
        <v>0.22500000000000001</v>
      </c>
    </row>
    <row r="11" spans="1:14" x14ac:dyDescent="0.3">
      <c r="A11" s="8" t="s">
        <v>225</v>
      </c>
      <c r="B11" t="s">
        <v>234</v>
      </c>
      <c r="D11" s="8" t="s">
        <v>225</v>
      </c>
      <c r="E11" t="s">
        <v>228</v>
      </c>
      <c r="G11" s="8" t="s">
        <v>225</v>
      </c>
      <c r="H11" t="s">
        <v>228</v>
      </c>
      <c r="J11" s="8" t="s">
        <v>225</v>
      </c>
      <c r="K11" t="s">
        <v>228</v>
      </c>
      <c r="M11" s="8" t="s">
        <v>225</v>
      </c>
      <c r="N11" t="s">
        <v>229</v>
      </c>
    </row>
    <row r="12" spans="1:14" x14ac:dyDescent="0.3">
      <c r="A12" s="9" t="s">
        <v>13</v>
      </c>
      <c r="B12" s="10">
        <v>45</v>
      </c>
      <c r="D12" s="9" t="s">
        <v>17</v>
      </c>
      <c r="E12" s="10">
        <v>3149635</v>
      </c>
      <c r="G12" s="9" t="s">
        <v>18</v>
      </c>
      <c r="H12" s="10">
        <v>1647451</v>
      </c>
      <c r="J12" s="9" t="s">
        <v>235</v>
      </c>
      <c r="K12" s="11">
        <v>527314</v>
      </c>
      <c r="M12" s="9" t="s">
        <v>18</v>
      </c>
      <c r="N12" s="11">
        <v>7693.0185185185182</v>
      </c>
    </row>
    <row r="13" spans="1:14" x14ac:dyDescent="0.3">
      <c r="A13" s="9" t="s">
        <v>19</v>
      </c>
      <c r="B13" s="10">
        <v>62</v>
      </c>
      <c r="D13" s="9" t="s">
        <v>11</v>
      </c>
      <c r="E13" s="10">
        <v>3399476</v>
      </c>
      <c r="G13" s="9" t="s">
        <v>30</v>
      </c>
      <c r="H13" s="10">
        <v>1176264</v>
      </c>
      <c r="J13" s="9" t="s">
        <v>236</v>
      </c>
      <c r="K13" s="11">
        <v>306951</v>
      </c>
      <c r="M13" s="9" t="s">
        <v>30</v>
      </c>
      <c r="N13" s="11">
        <v>7746.818181818182</v>
      </c>
    </row>
    <row r="14" spans="1:14" x14ac:dyDescent="0.3">
      <c r="A14" s="9" t="s">
        <v>21</v>
      </c>
      <c r="B14" s="10">
        <v>47</v>
      </c>
      <c r="D14" s="9" t="s">
        <v>226</v>
      </c>
      <c r="E14" s="10">
        <v>6549111</v>
      </c>
      <c r="G14" s="9" t="s">
        <v>15</v>
      </c>
      <c r="H14" s="10">
        <v>1890798</v>
      </c>
      <c r="J14" s="9" t="s">
        <v>237</v>
      </c>
      <c r="K14" s="11">
        <v>452239</v>
      </c>
      <c r="M14" s="9" t="s">
        <v>15</v>
      </c>
      <c r="N14" s="11">
        <v>7495.4035087719294</v>
      </c>
    </row>
    <row r="15" spans="1:14" x14ac:dyDescent="0.3">
      <c r="A15" s="9" t="s">
        <v>23</v>
      </c>
      <c r="B15" s="10">
        <v>46</v>
      </c>
      <c r="G15" s="9" t="s">
        <v>12</v>
      </c>
      <c r="H15" s="10">
        <v>1834598</v>
      </c>
      <c r="J15" s="9" t="s">
        <v>238</v>
      </c>
      <c r="K15" s="11">
        <v>445103</v>
      </c>
      <c r="M15" s="9" t="s">
        <v>12</v>
      </c>
      <c r="N15" s="11">
        <v>7668.9821428571431</v>
      </c>
    </row>
    <row r="16" spans="1:14" x14ac:dyDescent="0.3">
      <c r="A16" s="9" t="s">
        <v>226</v>
      </c>
      <c r="B16" s="10">
        <v>200</v>
      </c>
      <c r="G16" s="9" t="s">
        <v>226</v>
      </c>
      <c r="H16" s="10">
        <v>6549111</v>
      </c>
      <c r="J16" s="9" t="s">
        <v>239</v>
      </c>
      <c r="K16" s="11">
        <v>675124</v>
      </c>
      <c r="M16" s="9" t="s">
        <v>226</v>
      </c>
      <c r="N16" s="11">
        <v>7638.8450000000003</v>
      </c>
    </row>
    <row r="17" spans="4:11" x14ac:dyDescent="0.3">
      <c r="D17" s="8" t="s">
        <v>225</v>
      </c>
      <c r="E17" t="s">
        <v>230</v>
      </c>
      <c r="J17" s="9" t="s">
        <v>240</v>
      </c>
      <c r="K17" s="11">
        <v>755715</v>
      </c>
    </row>
    <row r="18" spans="4:11" x14ac:dyDescent="0.3">
      <c r="D18" s="9" t="s">
        <v>17</v>
      </c>
      <c r="E18" s="10">
        <v>2.9509803921568629</v>
      </c>
      <c r="J18" s="9" t="s">
        <v>241</v>
      </c>
      <c r="K18" s="11">
        <v>477156</v>
      </c>
    </row>
    <row r="19" spans="4:11" x14ac:dyDescent="0.3">
      <c r="D19" s="9" t="s">
        <v>11</v>
      </c>
      <c r="E19" s="10">
        <v>2.8571428571428572</v>
      </c>
      <c r="J19" s="9" t="s">
        <v>242</v>
      </c>
      <c r="K19" s="11">
        <v>650018</v>
      </c>
    </row>
    <row r="20" spans="4:11" x14ac:dyDescent="0.3">
      <c r="D20" s="9" t="s">
        <v>226</v>
      </c>
      <c r="E20" s="10">
        <v>2.9049999999999998</v>
      </c>
      <c r="J20" s="9" t="s">
        <v>243</v>
      </c>
      <c r="K20" s="11">
        <v>673880</v>
      </c>
    </row>
    <row r="21" spans="4:11" x14ac:dyDescent="0.3">
      <c r="J21" s="9" t="s">
        <v>244</v>
      </c>
      <c r="K21" s="11">
        <v>521604</v>
      </c>
    </row>
    <row r="22" spans="4:11" x14ac:dyDescent="0.3">
      <c r="J22" s="9" t="s">
        <v>245</v>
      </c>
      <c r="K22" s="11">
        <v>450051</v>
      </c>
    </row>
    <row r="23" spans="4:11" x14ac:dyDescent="0.3">
      <c r="J23" s="9" t="s">
        <v>246</v>
      </c>
      <c r="K23" s="11">
        <v>613956</v>
      </c>
    </row>
    <row r="24" spans="4:11" x14ac:dyDescent="0.3">
      <c r="J24" s="9" t="s">
        <v>226</v>
      </c>
      <c r="K24" s="11">
        <v>6549111</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1"/>
  <sheetViews>
    <sheetView workbookViewId="0">
      <selection activeCell="P9" sqref="P9"/>
    </sheetView>
  </sheetViews>
  <sheetFormatPr defaultRowHeight="14.4" x14ac:dyDescent="0.3"/>
  <cols>
    <col min="1" max="1" width="10.33203125" bestFit="1" customWidth="1"/>
    <col min="2" max="2" width="11.21875" bestFit="1" customWidth="1"/>
    <col min="3" max="3" width="10.77734375" bestFit="1" customWidth="1"/>
    <col min="6" max="6" width="10.6640625" bestFit="1" customWidth="1"/>
    <col min="7" max="7" width="13.44140625" bestFit="1" customWidth="1"/>
    <col min="8" max="8" width="14.88671875" bestFit="1" customWidth="1"/>
    <col min="9" max="9" width="13.6640625" bestFit="1" customWidth="1"/>
    <col min="11" max="11" width="11.77734375" bestFit="1" customWidth="1"/>
    <col min="13" max="13" width="15" bestFit="1" customWidth="1"/>
  </cols>
  <sheetData>
    <row r="1" spans="1:13" x14ac:dyDescent="0.3">
      <c r="A1" s="3" t="s">
        <v>0</v>
      </c>
      <c r="B1" s="3" t="s">
        <v>1</v>
      </c>
      <c r="C1" s="3" t="s">
        <v>2</v>
      </c>
      <c r="D1" s="3" t="s">
        <v>3</v>
      </c>
      <c r="E1" s="3" t="s">
        <v>4</v>
      </c>
      <c r="F1" s="3" t="s">
        <v>5</v>
      </c>
      <c r="G1" s="3" t="s">
        <v>6</v>
      </c>
      <c r="H1" s="3" t="s">
        <v>7</v>
      </c>
      <c r="I1" s="3" t="s">
        <v>8</v>
      </c>
      <c r="J1" s="3" t="s">
        <v>9</v>
      </c>
      <c r="K1" s="3" t="s">
        <v>220</v>
      </c>
      <c r="L1" s="3" t="s">
        <v>221</v>
      </c>
      <c r="M1" s="3" t="s">
        <v>222</v>
      </c>
    </row>
    <row r="2" spans="1:13" x14ac:dyDescent="0.3">
      <c r="A2" s="1" t="s">
        <v>10</v>
      </c>
      <c r="B2" s="1" t="s">
        <v>11</v>
      </c>
      <c r="C2" s="1" t="s">
        <v>12</v>
      </c>
      <c r="D2" s="1">
        <v>3</v>
      </c>
      <c r="E2" s="1">
        <v>0</v>
      </c>
      <c r="F2" s="1">
        <v>5301</v>
      </c>
      <c r="G2" s="2">
        <v>45879</v>
      </c>
      <c r="H2" s="2">
        <v>45886</v>
      </c>
      <c r="I2" s="1" t="s">
        <v>13</v>
      </c>
      <c r="J2" s="1">
        <v>5</v>
      </c>
      <c r="K2" s="1">
        <f>H2-G2</f>
        <v>7</v>
      </c>
      <c r="L2" s="1">
        <f>K2*F2</f>
        <v>37107</v>
      </c>
      <c r="M2" s="1" t="str">
        <f>TEXT(G2,"mmm")</f>
        <v>Aug</v>
      </c>
    </row>
    <row r="3" spans="1:13" x14ac:dyDescent="0.3">
      <c r="A3" s="1" t="s">
        <v>14</v>
      </c>
      <c r="B3" s="1" t="s">
        <v>11</v>
      </c>
      <c r="C3" s="1" t="s">
        <v>15</v>
      </c>
      <c r="D3" s="1">
        <v>1</v>
      </c>
      <c r="E3" s="1">
        <v>0</v>
      </c>
      <c r="F3" s="1">
        <v>7740</v>
      </c>
      <c r="G3" s="2">
        <v>45930</v>
      </c>
      <c r="H3" s="2">
        <v>45931</v>
      </c>
      <c r="I3" s="1" t="s">
        <v>13</v>
      </c>
      <c r="J3" s="1">
        <v>4</v>
      </c>
      <c r="K3" s="1">
        <f t="shared" ref="K3:K66" si="0">H3-G3</f>
        <v>1</v>
      </c>
      <c r="L3" s="1">
        <f t="shared" ref="L3:L66" si="1">K3*F3</f>
        <v>7740</v>
      </c>
      <c r="M3" s="1" t="str">
        <f t="shared" ref="M3:M66" si="2">TEXT(G3,"mmm")</f>
        <v>Sep</v>
      </c>
    </row>
    <row r="4" spans="1:13" x14ac:dyDescent="0.3">
      <c r="A4" s="1" t="s">
        <v>16</v>
      </c>
      <c r="B4" s="1" t="s">
        <v>17</v>
      </c>
      <c r="C4" s="1" t="s">
        <v>18</v>
      </c>
      <c r="D4" s="1">
        <v>1</v>
      </c>
      <c r="E4" s="1">
        <v>2</v>
      </c>
      <c r="F4" s="1">
        <v>10396</v>
      </c>
      <c r="G4" s="2">
        <v>45959</v>
      </c>
      <c r="H4" s="2">
        <v>45961</v>
      </c>
      <c r="I4" s="1" t="s">
        <v>19</v>
      </c>
      <c r="J4" s="1">
        <v>4</v>
      </c>
      <c r="K4" s="1">
        <f t="shared" si="0"/>
        <v>2</v>
      </c>
      <c r="L4" s="1">
        <f t="shared" si="1"/>
        <v>20792</v>
      </c>
      <c r="M4" s="1" t="str">
        <f t="shared" si="2"/>
        <v>Oct</v>
      </c>
    </row>
    <row r="5" spans="1:13" x14ac:dyDescent="0.3">
      <c r="A5" s="1" t="s">
        <v>20</v>
      </c>
      <c r="B5" s="1" t="s">
        <v>17</v>
      </c>
      <c r="C5" s="1" t="s">
        <v>12</v>
      </c>
      <c r="D5" s="1">
        <v>2</v>
      </c>
      <c r="E5" s="1">
        <v>0</v>
      </c>
      <c r="F5" s="1">
        <v>10053</v>
      </c>
      <c r="G5" s="2">
        <v>45717</v>
      </c>
      <c r="H5" s="2">
        <v>45720</v>
      </c>
      <c r="I5" s="1" t="s">
        <v>21</v>
      </c>
      <c r="J5" s="1">
        <v>4</v>
      </c>
      <c r="K5" s="1">
        <f t="shared" si="0"/>
        <v>3</v>
      </c>
      <c r="L5" s="1">
        <f t="shared" si="1"/>
        <v>30159</v>
      </c>
      <c r="M5" s="1" t="str">
        <f t="shared" si="2"/>
        <v>Mar</v>
      </c>
    </row>
    <row r="6" spans="1:13" x14ac:dyDescent="0.3">
      <c r="A6" s="1" t="s">
        <v>22</v>
      </c>
      <c r="B6" s="1" t="s">
        <v>17</v>
      </c>
      <c r="C6" s="1" t="s">
        <v>12</v>
      </c>
      <c r="D6" s="1">
        <v>1</v>
      </c>
      <c r="E6" s="1">
        <v>1</v>
      </c>
      <c r="F6" s="1">
        <v>11859</v>
      </c>
      <c r="G6" s="2">
        <v>45676</v>
      </c>
      <c r="H6" s="2">
        <v>45678</v>
      </c>
      <c r="I6" s="1" t="s">
        <v>23</v>
      </c>
      <c r="J6" s="1">
        <v>2</v>
      </c>
      <c r="K6" s="1">
        <f t="shared" si="0"/>
        <v>2</v>
      </c>
      <c r="L6" s="1">
        <f t="shared" si="1"/>
        <v>23718</v>
      </c>
      <c r="M6" s="1" t="str">
        <f t="shared" si="2"/>
        <v>Jan</v>
      </c>
    </row>
    <row r="7" spans="1:13" x14ac:dyDescent="0.3">
      <c r="A7" s="1" t="s">
        <v>24</v>
      </c>
      <c r="B7" s="1" t="s">
        <v>17</v>
      </c>
      <c r="C7" s="1" t="s">
        <v>15</v>
      </c>
      <c r="D7" s="1">
        <v>3</v>
      </c>
      <c r="E7" s="1">
        <v>3</v>
      </c>
      <c r="F7" s="1">
        <v>4111</v>
      </c>
      <c r="G7" s="2">
        <v>45695</v>
      </c>
      <c r="H7" s="2">
        <v>45702</v>
      </c>
      <c r="I7" s="1" t="s">
        <v>19</v>
      </c>
      <c r="J7" s="1">
        <v>4</v>
      </c>
      <c r="K7" s="1">
        <f t="shared" si="0"/>
        <v>7</v>
      </c>
      <c r="L7" s="1">
        <f t="shared" si="1"/>
        <v>28777</v>
      </c>
      <c r="M7" s="1" t="str">
        <f t="shared" si="2"/>
        <v>Feb</v>
      </c>
    </row>
    <row r="8" spans="1:13" x14ac:dyDescent="0.3">
      <c r="A8" s="1" t="s">
        <v>25</v>
      </c>
      <c r="B8" s="1" t="s">
        <v>11</v>
      </c>
      <c r="C8" s="1" t="s">
        <v>15</v>
      </c>
      <c r="D8" s="1">
        <v>2</v>
      </c>
      <c r="E8" s="1">
        <v>0</v>
      </c>
      <c r="F8" s="1">
        <v>9174</v>
      </c>
      <c r="G8" s="2">
        <v>45834</v>
      </c>
      <c r="H8" s="2">
        <v>45841</v>
      </c>
      <c r="I8" s="1" t="s">
        <v>19</v>
      </c>
      <c r="J8" s="1">
        <v>5</v>
      </c>
      <c r="K8" s="1">
        <f t="shared" si="0"/>
        <v>7</v>
      </c>
      <c r="L8" s="1">
        <f t="shared" si="1"/>
        <v>64218</v>
      </c>
      <c r="M8" s="1" t="str">
        <f t="shared" si="2"/>
        <v>Jun</v>
      </c>
    </row>
    <row r="9" spans="1:13" x14ac:dyDescent="0.3">
      <c r="A9" s="1" t="s">
        <v>26</v>
      </c>
      <c r="B9" s="1" t="s">
        <v>17</v>
      </c>
      <c r="C9" s="1" t="s">
        <v>15</v>
      </c>
      <c r="D9" s="1">
        <v>1</v>
      </c>
      <c r="E9" s="1">
        <v>1</v>
      </c>
      <c r="F9" s="1">
        <v>7760</v>
      </c>
      <c r="G9" s="2">
        <v>45793</v>
      </c>
      <c r="H9" s="2">
        <v>45796</v>
      </c>
      <c r="I9" s="1" t="s">
        <v>13</v>
      </c>
      <c r="J9" s="1">
        <v>2</v>
      </c>
      <c r="K9" s="1">
        <f t="shared" si="0"/>
        <v>3</v>
      </c>
      <c r="L9" s="1">
        <f t="shared" si="1"/>
        <v>23280</v>
      </c>
      <c r="M9" s="1" t="str">
        <f t="shared" si="2"/>
        <v>May</v>
      </c>
    </row>
    <row r="10" spans="1:13" x14ac:dyDescent="0.3">
      <c r="A10" s="1" t="s">
        <v>27</v>
      </c>
      <c r="B10" s="1" t="s">
        <v>11</v>
      </c>
      <c r="C10" s="1" t="s">
        <v>18</v>
      </c>
      <c r="D10" s="1">
        <v>3</v>
      </c>
      <c r="E10" s="1">
        <v>0</v>
      </c>
      <c r="F10" s="1">
        <v>6555</v>
      </c>
      <c r="G10" s="2">
        <v>45801</v>
      </c>
      <c r="H10" s="2">
        <v>45806</v>
      </c>
      <c r="I10" s="1" t="s">
        <v>23</v>
      </c>
      <c r="J10" s="1">
        <v>2</v>
      </c>
      <c r="K10" s="1">
        <f t="shared" si="0"/>
        <v>5</v>
      </c>
      <c r="L10" s="1">
        <f t="shared" si="1"/>
        <v>32775</v>
      </c>
      <c r="M10" s="1" t="str">
        <f t="shared" si="2"/>
        <v>May</v>
      </c>
    </row>
    <row r="11" spans="1:13" x14ac:dyDescent="0.3">
      <c r="A11" s="1" t="s">
        <v>28</v>
      </c>
      <c r="B11" s="1" t="s">
        <v>17</v>
      </c>
      <c r="C11" s="1" t="s">
        <v>18</v>
      </c>
      <c r="D11" s="1">
        <v>4</v>
      </c>
      <c r="E11" s="1">
        <v>3</v>
      </c>
      <c r="F11" s="1">
        <v>3705</v>
      </c>
      <c r="G11" s="2">
        <v>45938</v>
      </c>
      <c r="H11" s="2">
        <v>45945</v>
      </c>
      <c r="I11" s="1" t="s">
        <v>13</v>
      </c>
      <c r="J11" s="1">
        <v>2</v>
      </c>
      <c r="K11" s="1">
        <f t="shared" si="0"/>
        <v>7</v>
      </c>
      <c r="L11" s="1">
        <f t="shared" si="1"/>
        <v>25935</v>
      </c>
      <c r="M11" s="1" t="str">
        <f t="shared" si="2"/>
        <v>Oct</v>
      </c>
    </row>
    <row r="12" spans="1:13" x14ac:dyDescent="0.3">
      <c r="A12" s="1" t="s">
        <v>29</v>
      </c>
      <c r="B12" s="1" t="s">
        <v>11</v>
      </c>
      <c r="C12" s="1" t="s">
        <v>30</v>
      </c>
      <c r="D12" s="1">
        <v>2</v>
      </c>
      <c r="E12" s="1">
        <v>1</v>
      </c>
      <c r="F12" s="1">
        <v>6343</v>
      </c>
      <c r="G12" s="2">
        <v>45898</v>
      </c>
      <c r="H12" s="2">
        <v>45900</v>
      </c>
      <c r="I12" s="1" t="s">
        <v>23</v>
      </c>
      <c r="J12" s="1">
        <v>4</v>
      </c>
      <c r="K12" s="1">
        <f t="shared" si="0"/>
        <v>2</v>
      </c>
      <c r="L12" s="1">
        <f t="shared" si="1"/>
        <v>12686</v>
      </c>
      <c r="M12" s="1" t="str">
        <f t="shared" si="2"/>
        <v>Aug</v>
      </c>
    </row>
    <row r="13" spans="1:13" x14ac:dyDescent="0.3">
      <c r="A13" s="1" t="s">
        <v>31</v>
      </c>
      <c r="B13" s="1" t="s">
        <v>11</v>
      </c>
      <c r="C13" s="1" t="s">
        <v>18</v>
      </c>
      <c r="D13" s="1">
        <v>3</v>
      </c>
      <c r="E13" s="1">
        <v>2</v>
      </c>
      <c r="F13" s="1">
        <v>4110</v>
      </c>
      <c r="G13" s="2">
        <v>45866</v>
      </c>
      <c r="H13" s="2">
        <v>45868</v>
      </c>
      <c r="I13" s="1" t="s">
        <v>19</v>
      </c>
      <c r="J13" s="1">
        <v>4</v>
      </c>
      <c r="K13" s="1">
        <f t="shared" si="0"/>
        <v>2</v>
      </c>
      <c r="L13" s="1">
        <f t="shared" si="1"/>
        <v>8220</v>
      </c>
      <c r="M13" s="1" t="str">
        <f t="shared" si="2"/>
        <v>Jul</v>
      </c>
    </row>
    <row r="14" spans="1:13" x14ac:dyDescent="0.3">
      <c r="A14" s="1" t="s">
        <v>32</v>
      </c>
      <c r="B14" s="1" t="s">
        <v>17</v>
      </c>
      <c r="C14" s="1" t="s">
        <v>12</v>
      </c>
      <c r="D14" s="1">
        <v>3</v>
      </c>
      <c r="E14" s="1">
        <v>3</v>
      </c>
      <c r="F14" s="1">
        <v>8833</v>
      </c>
      <c r="G14" s="2">
        <v>45972</v>
      </c>
      <c r="H14" s="2">
        <v>45976</v>
      </c>
      <c r="I14" s="1" t="s">
        <v>21</v>
      </c>
      <c r="J14" s="1">
        <v>5</v>
      </c>
      <c r="K14" s="1">
        <f t="shared" si="0"/>
        <v>4</v>
      </c>
      <c r="L14" s="1">
        <f t="shared" si="1"/>
        <v>35332</v>
      </c>
      <c r="M14" s="1" t="str">
        <f t="shared" si="2"/>
        <v>Nov</v>
      </c>
    </row>
    <row r="15" spans="1:13" x14ac:dyDescent="0.3">
      <c r="A15" s="1" t="s">
        <v>33</v>
      </c>
      <c r="B15" s="1" t="s">
        <v>11</v>
      </c>
      <c r="C15" s="1" t="s">
        <v>12</v>
      </c>
      <c r="D15" s="1">
        <v>3</v>
      </c>
      <c r="E15" s="1">
        <v>2</v>
      </c>
      <c r="F15" s="1">
        <v>5082</v>
      </c>
      <c r="G15" s="2">
        <v>46021</v>
      </c>
      <c r="H15" s="2">
        <v>46028</v>
      </c>
      <c r="I15" s="1" t="s">
        <v>21</v>
      </c>
      <c r="J15" s="1">
        <v>4</v>
      </c>
      <c r="K15" s="1">
        <f t="shared" si="0"/>
        <v>7</v>
      </c>
      <c r="L15" s="1">
        <f t="shared" si="1"/>
        <v>35574</v>
      </c>
      <c r="M15" s="1" t="str">
        <f t="shared" si="2"/>
        <v>Dec</v>
      </c>
    </row>
    <row r="16" spans="1:13" x14ac:dyDescent="0.3">
      <c r="A16" s="1" t="s">
        <v>34</v>
      </c>
      <c r="B16" s="1" t="s">
        <v>11</v>
      </c>
      <c r="C16" s="1" t="s">
        <v>15</v>
      </c>
      <c r="D16" s="1">
        <v>1</v>
      </c>
      <c r="E16" s="1">
        <v>1</v>
      </c>
      <c r="F16" s="1">
        <v>4391</v>
      </c>
      <c r="G16" s="2">
        <v>45945</v>
      </c>
      <c r="H16" s="2">
        <v>45948</v>
      </c>
      <c r="I16" s="1" t="s">
        <v>19</v>
      </c>
      <c r="J16" s="1">
        <v>2</v>
      </c>
      <c r="K16" s="1">
        <f t="shared" si="0"/>
        <v>3</v>
      </c>
      <c r="L16" s="1">
        <f t="shared" si="1"/>
        <v>13173</v>
      </c>
      <c r="M16" s="1" t="str">
        <f t="shared" si="2"/>
        <v>Oct</v>
      </c>
    </row>
    <row r="17" spans="1:13" x14ac:dyDescent="0.3">
      <c r="A17" s="1" t="s">
        <v>35</v>
      </c>
      <c r="B17" s="1" t="s">
        <v>17</v>
      </c>
      <c r="C17" s="1" t="s">
        <v>12</v>
      </c>
      <c r="D17" s="1">
        <v>2</v>
      </c>
      <c r="E17" s="1">
        <v>0</v>
      </c>
      <c r="F17" s="1">
        <v>11554</v>
      </c>
      <c r="G17" s="2">
        <v>45859</v>
      </c>
      <c r="H17" s="2">
        <v>45863</v>
      </c>
      <c r="I17" s="1" t="s">
        <v>19</v>
      </c>
      <c r="J17" s="1">
        <v>3</v>
      </c>
      <c r="K17" s="1">
        <f t="shared" si="0"/>
        <v>4</v>
      </c>
      <c r="L17" s="1">
        <f t="shared" si="1"/>
        <v>46216</v>
      </c>
      <c r="M17" s="1" t="str">
        <f t="shared" si="2"/>
        <v>Jul</v>
      </c>
    </row>
    <row r="18" spans="1:13" x14ac:dyDescent="0.3">
      <c r="A18" s="1" t="s">
        <v>36</v>
      </c>
      <c r="B18" s="1" t="s">
        <v>17</v>
      </c>
      <c r="C18" s="1" t="s">
        <v>18</v>
      </c>
      <c r="D18" s="1">
        <v>2</v>
      </c>
      <c r="E18" s="1">
        <v>3</v>
      </c>
      <c r="F18" s="1">
        <v>6120</v>
      </c>
      <c r="G18" s="2">
        <v>45981</v>
      </c>
      <c r="H18" s="2">
        <v>45982</v>
      </c>
      <c r="I18" s="1" t="s">
        <v>21</v>
      </c>
      <c r="J18" s="1">
        <v>2</v>
      </c>
      <c r="K18" s="1">
        <f t="shared" si="0"/>
        <v>1</v>
      </c>
      <c r="L18" s="1">
        <f t="shared" si="1"/>
        <v>6120</v>
      </c>
      <c r="M18" s="1" t="str">
        <f t="shared" si="2"/>
        <v>Nov</v>
      </c>
    </row>
    <row r="19" spans="1:13" x14ac:dyDescent="0.3">
      <c r="A19" s="1" t="s">
        <v>37</v>
      </c>
      <c r="B19" s="1" t="s">
        <v>17</v>
      </c>
      <c r="C19" s="1" t="s">
        <v>15</v>
      </c>
      <c r="D19" s="1">
        <v>2</v>
      </c>
      <c r="E19" s="1">
        <v>1</v>
      </c>
      <c r="F19" s="1">
        <v>7670</v>
      </c>
      <c r="G19" s="2">
        <v>45731</v>
      </c>
      <c r="H19" s="2">
        <v>45735</v>
      </c>
      <c r="I19" s="1" t="s">
        <v>19</v>
      </c>
      <c r="J19" s="1">
        <v>2</v>
      </c>
      <c r="K19" s="1">
        <f t="shared" si="0"/>
        <v>4</v>
      </c>
      <c r="L19" s="1">
        <f t="shared" si="1"/>
        <v>30680</v>
      </c>
      <c r="M19" s="1" t="str">
        <f t="shared" si="2"/>
        <v>Mar</v>
      </c>
    </row>
    <row r="20" spans="1:13" x14ac:dyDescent="0.3">
      <c r="A20" s="1" t="s">
        <v>38</v>
      </c>
      <c r="B20" s="1" t="s">
        <v>17</v>
      </c>
      <c r="C20" s="1" t="s">
        <v>15</v>
      </c>
      <c r="D20" s="1">
        <v>3</v>
      </c>
      <c r="E20" s="1">
        <v>1</v>
      </c>
      <c r="F20" s="1">
        <v>10135</v>
      </c>
      <c r="G20" s="2">
        <v>45799</v>
      </c>
      <c r="H20" s="2">
        <v>45802</v>
      </c>
      <c r="I20" s="1" t="s">
        <v>19</v>
      </c>
      <c r="J20" s="1">
        <v>5</v>
      </c>
      <c r="K20" s="1">
        <f t="shared" si="0"/>
        <v>3</v>
      </c>
      <c r="L20" s="1">
        <f t="shared" si="1"/>
        <v>30405</v>
      </c>
      <c r="M20" s="1" t="str">
        <f t="shared" si="2"/>
        <v>May</v>
      </c>
    </row>
    <row r="21" spans="1:13" x14ac:dyDescent="0.3">
      <c r="A21" s="1" t="s">
        <v>39</v>
      </c>
      <c r="B21" s="1" t="s">
        <v>11</v>
      </c>
      <c r="C21" s="1" t="s">
        <v>18</v>
      </c>
      <c r="D21" s="1">
        <v>3</v>
      </c>
      <c r="E21" s="1">
        <v>2</v>
      </c>
      <c r="F21" s="1">
        <v>7673</v>
      </c>
      <c r="G21" s="2">
        <v>45777</v>
      </c>
      <c r="H21" s="2">
        <v>45779</v>
      </c>
      <c r="I21" s="1" t="s">
        <v>21</v>
      </c>
      <c r="J21" s="1">
        <v>4</v>
      </c>
      <c r="K21" s="1">
        <f t="shared" si="0"/>
        <v>2</v>
      </c>
      <c r="L21" s="1">
        <f t="shared" si="1"/>
        <v>15346</v>
      </c>
      <c r="M21" s="1" t="str">
        <f t="shared" si="2"/>
        <v>Apr</v>
      </c>
    </row>
    <row r="22" spans="1:13" x14ac:dyDescent="0.3">
      <c r="A22" s="1" t="s">
        <v>40</v>
      </c>
      <c r="B22" s="1" t="s">
        <v>11</v>
      </c>
      <c r="C22" s="1" t="s">
        <v>15</v>
      </c>
      <c r="D22" s="1">
        <v>3</v>
      </c>
      <c r="E22" s="1">
        <v>0</v>
      </c>
      <c r="F22" s="1">
        <v>6893</v>
      </c>
      <c r="G22" s="2">
        <v>45874</v>
      </c>
      <c r="H22" s="2">
        <v>45880</v>
      </c>
      <c r="I22" s="1" t="s">
        <v>13</v>
      </c>
      <c r="J22" s="1">
        <v>3</v>
      </c>
      <c r="K22" s="1">
        <f t="shared" si="0"/>
        <v>6</v>
      </c>
      <c r="L22" s="1">
        <f t="shared" si="1"/>
        <v>41358</v>
      </c>
      <c r="M22" s="1" t="str">
        <f t="shared" si="2"/>
        <v>Aug</v>
      </c>
    </row>
    <row r="23" spans="1:13" x14ac:dyDescent="0.3">
      <c r="A23" s="1" t="s">
        <v>41</v>
      </c>
      <c r="B23" s="1" t="s">
        <v>11</v>
      </c>
      <c r="C23" s="1" t="s">
        <v>15</v>
      </c>
      <c r="D23" s="1">
        <v>1</v>
      </c>
      <c r="E23" s="1">
        <v>2</v>
      </c>
      <c r="F23" s="1">
        <v>8392</v>
      </c>
      <c r="G23" s="2">
        <v>45707</v>
      </c>
      <c r="H23" s="2">
        <v>45712</v>
      </c>
      <c r="I23" s="1" t="s">
        <v>13</v>
      </c>
      <c r="J23" s="1">
        <v>5</v>
      </c>
      <c r="K23" s="1">
        <f t="shared" si="0"/>
        <v>5</v>
      </c>
      <c r="L23" s="1">
        <f t="shared" si="1"/>
        <v>41960</v>
      </c>
      <c r="M23" s="1" t="str">
        <f t="shared" si="2"/>
        <v>Feb</v>
      </c>
    </row>
    <row r="24" spans="1:13" x14ac:dyDescent="0.3">
      <c r="A24" s="1" t="s">
        <v>42</v>
      </c>
      <c r="B24" s="1" t="s">
        <v>11</v>
      </c>
      <c r="C24" s="1" t="s">
        <v>12</v>
      </c>
      <c r="D24" s="1">
        <v>2</v>
      </c>
      <c r="E24" s="1">
        <v>1</v>
      </c>
      <c r="F24" s="1">
        <v>8086</v>
      </c>
      <c r="G24" s="2">
        <v>45977</v>
      </c>
      <c r="H24" s="2">
        <v>45979</v>
      </c>
      <c r="I24" s="1" t="s">
        <v>23</v>
      </c>
      <c r="J24" s="1">
        <v>2</v>
      </c>
      <c r="K24" s="1">
        <f t="shared" si="0"/>
        <v>2</v>
      </c>
      <c r="L24" s="1">
        <f t="shared" si="1"/>
        <v>16172</v>
      </c>
      <c r="M24" s="1" t="str">
        <f t="shared" si="2"/>
        <v>Nov</v>
      </c>
    </row>
    <row r="25" spans="1:13" x14ac:dyDescent="0.3">
      <c r="A25" s="1" t="s">
        <v>43</v>
      </c>
      <c r="B25" s="1" t="s">
        <v>11</v>
      </c>
      <c r="C25" s="1" t="s">
        <v>12</v>
      </c>
      <c r="D25" s="1">
        <v>3</v>
      </c>
      <c r="E25" s="1">
        <v>3</v>
      </c>
      <c r="F25" s="1">
        <v>4895</v>
      </c>
      <c r="G25" s="2">
        <v>45905</v>
      </c>
      <c r="H25" s="2">
        <v>45912</v>
      </c>
      <c r="I25" s="1" t="s">
        <v>13</v>
      </c>
      <c r="J25" s="1">
        <v>1</v>
      </c>
      <c r="K25" s="1">
        <f t="shared" si="0"/>
        <v>7</v>
      </c>
      <c r="L25" s="1">
        <f t="shared" si="1"/>
        <v>34265</v>
      </c>
      <c r="M25" s="1" t="str">
        <f t="shared" si="2"/>
        <v>Sep</v>
      </c>
    </row>
    <row r="26" spans="1:13" x14ac:dyDescent="0.3">
      <c r="A26" s="1" t="s">
        <v>44</v>
      </c>
      <c r="B26" s="1" t="s">
        <v>11</v>
      </c>
      <c r="C26" s="1" t="s">
        <v>30</v>
      </c>
      <c r="D26" s="1">
        <v>2</v>
      </c>
      <c r="E26" s="1">
        <v>0</v>
      </c>
      <c r="F26" s="1">
        <v>8085</v>
      </c>
      <c r="G26" s="2">
        <v>45899</v>
      </c>
      <c r="H26" s="2">
        <v>45906</v>
      </c>
      <c r="I26" s="1" t="s">
        <v>21</v>
      </c>
      <c r="J26" s="1">
        <v>5</v>
      </c>
      <c r="K26" s="1">
        <f t="shared" si="0"/>
        <v>7</v>
      </c>
      <c r="L26" s="1">
        <f t="shared" si="1"/>
        <v>56595</v>
      </c>
      <c r="M26" s="1" t="str">
        <f t="shared" si="2"/>
        <v>Aug</v>
      </c>
    </row>
    <row r="27" spans="1:13" x14ac:dyDescent="0.3">
      <c r="A27" s="1" t="s">
        <v>45</v>
      </c>
      <c r="B27" s="1" t="s">
        <v>17</v>
      </c>
      <c r="C27" s="1" t="s">
        <v>18</v>
      </c>
      <c r="D27" s="1">
        <v>2</v>
      </c>
      <c r="E27" s="1">
        <v>1</v>
      </c>
      <c r="F27" s="1">
        <v>9630</v>
      </c>
      <c r="G27" s="2">
        <v>45806</v>
      </c>
      <c r="H27" s="2">
        <v>45807</v>
      </c>
      <c r="I27" s="1" t="s">
        <v>13</v>
      </c>
      <c r="J27" s="1">
        <v>1</v>
      </c>
      <c r="K27" s="1">
        <f t="shared" si="0"/>
        <v>1</v>
      </c>
      <c r="L27" s="1">
        <f t="shared" si="1"/>
        <v>9630</v>
      </c>
      <c r="M27" s="1" t="str">
        <f t="shared" si="2"/>
        <v>May</v>
      </c>
    </row>
    <row r="28" spans="1:13" x14ac:dyDescent="0.3">
      <c r="A28" s="1" t="s">
        <v>46</v>
      </c>
      <c r="B28" s="1" t="s">
        <v>17</v>
      </c>
      <c r="C28" s="1" t="s">
        <v>15</v>
      </c>
      <c r="D28" s="1">
        <v>3</v>
      </c>
      <c r="E28" s="1">
        <v>1</v>
      </c>
      <c r="F28" s="1">
        <v>8941</v>
      </c>
      <c r="G28" s="2">
        <v>45739</v>
      </c>
      <c r="H28" s="2">
        <v>45746</v>
      </c>
      <c r="I28" s="1" t="s">
        <v>13</v>
      </c>
      <c r="J28" s="1">
        <v>1</v>
      </c>
      <c r="K28" s="1">
        <f t="shared" si="0"/>
        <v>7</v>
      </c>
      <c r="L28" s="1">
        <f t="shared" si="1"/>
        <v>62587</v>
      </c>
      <c r="M28" s="1" t="str">
        <f t="shared" si="2"/>
        <v>Mar</v>
      </c>
    </row>
    <row r="29" spans="1:13" x14ac:dyDescent="0.3">
      <c r="A29" s="1" t="s">
        <v>47</v>
      </c>
      <c r="B29" s="1" t="s">
        <v>17</v>
      </c>
      <c r="C29" s="1" t="s">
        <v>12</v>
      </c>
      <c r="D29" s="1">
        <v>3</v>
      </c>
      <c r="E29" s="1">
        <v>2</v>
      </c>
      <c r="F29" s="1">
        <v>2615</v>
      </c>
      <c r="G29" s="2">
        <v>45685</v>
      </c>
      <c r="H29" s="2">
        <v>45687</v>
      </c>
      <c r="I29" s="1" t="s">
        <v>19</v>
      </c>
      <c r="J29" s="1">
        <v>5</v>
      </c>
      <c r="K29" s="1">
        <f t="shared" si="0"/>
        <v>2</v>
      </c>
      <c r="L29" s="1">
        <f t="shared" si="1"/>
        <v>5230</v>
      </c>
      <c r="M29" s="1" t="str">
        <f t="shared" si="2"/>
        <v>Jan</v>
      </c>
    </row>
    <row r="30" spans="1:13" x14ac:dyDescent="0.3">
      <c r="A30" s="1" t="s">
        <v>48</v>
      </c>
      <c r="B30" s="1" t="s">
        <v>17</v>
      </c>
      <c r="C30" s="1" t="s">
        <v>15</v>
      </c>
      <c r="D30" s="1">
        <v>1</v>
      </c>
      <c r="E30" s="1">
        <v>2</v>
      </c>
      <c r="F30" s="1">
        <v>5947</v>
      </c>
      <c r="G30" s="2">
        <v>45892</v>
      </c>
      <c r="H30" s="2">
        <v>45898</v>
      </c>
      <c r="I30" s="1" t="s">
        <v>13</v>
      </c>
      <c r="J30" s="1">
        <v>2</v>
      </c>
      <c r="K30" s="1">
        <f t="shared" si="0"/>
        <v>6</v>
      </c>
      <c r="L30" s="1">
        <f t="shared" si="1"/>
        <v>35682</v>
      </c>
      <c r="M30" s="1" t="str">
        <f t="shared" si="2"/>
        <v>Aug</v>
      </c>
    </row>
    <row r="31" spans="1:13" x14ac:dyDescent="0.3">
      <c r="A31" s="1" t="s">
        <v>49</v>
      </c>
      <c r="B31" s="1" t="s">
        <v>11</v>
      </c>
      <c r="C31" s="1" t="s">
        <v>18</v>
      </c>
      <c r="D31" s="1">
        <v>1</v>
      </c>
      <c r="E31" s="1">
        <v>2</v>
      </c>
      <c r="F31" s="1">
        <v>10236</v>
      </c>
      <c r="G31" s="2">
        <v>45720</v>
      </c>
      <c r="H31" s="2">
        <v>45724</v>
      </c>
      <c r="I31" s="1" t="s">
        <v>23</v>
      </c>
      <c r="J31" s="1">
        <v>3</v>
      </c>
      <c r="K31" s="1">
        <f t="shared" si="0"/>
        <v>4</v>
      </c>
      <c r="L31" s="1">
        <f t="shared" si="1"/>
        <v>40944</v>
      </c>
      <c r="M31" s="1" t="str">
        <f t="shared" si="2"/>
        <v>Mar</v>
      </c>
    </row>
    <row r="32" spans="1:13" x14ac:dyDescent="0.3">
      <c r="A32" s="1" t="s">
        <v>50</v>
      </c>
      <c r="B32" s="1" t="s">
        <v>11</v>
      </c>
      <c r="C32" s="1" t="s">
        <v>12</v>
      </c>
      <c r="D32" s="1">
        <v>3</v>
      </c>
      <c r="E32" s="1">
        <v>1</v>
      </c>
      <c r="F32" s="1">
        <v>5014</v>
      </c>
      <c r="G32" s="2">
        <v>46022</v>
      </c>
      <c r="H32" s="2">
        <v>46026</v>
      </c>
      <c r="I32" s="1" t="s">
        <v>23</v>
      </c>
      <c r="J32" s="1">
        <v>3</v>
      </c>
      <c r="K32" s="1">
        <f t="shared" si="0"/>
        <v>4</v>
      </c>
      <c r="L32" s="1">
        <f t="shared" si="1"/>
        <v>20056</v>
      </c>
      <c r="M32" s="1" t="str">
        <f t="shared" si="2"/>
        <v>Dec</v>
      </c>
    </row>
    <row r="33" spans="1:13" x14ac:dyDescent="0.3">
      <c r="A33" s="1" t="s">
        <v>51</v>
      </c>
      <c r="B33" s="1" t="s">
        <v>11</v>
      </c>
      <c r="C33" s="1" t="s">
        <v>15</v>
      </c>
      <c r="D33" s="1">
        <v>2</v>
      </c>
      <c r="E33" s="1">
        <v>3</v>
      </c>
      <c r="F33" s="1">
        <v>9685</v>
      </c>
      <c r="G33" s="2">
        <v>46001</v>
      </c>
      <c r="H33" s="2">
        <v>46006</v>
      </c>
      <c r="I33" s="1" t="s">
        <v>19</v>
      </c>
      <c r="J33" s="1">
        <v>5</v>
      </c>
      <c r="K33" s="1">
        <f t="shared" si="0"/>
        <v>5</v>
      </c>
      <c r="L33" s="1">
        <f t="shared" si="1"/>
        <v>48425</v>
      </c>
      <c r="M33" s="1" t="str">
        <f t="shared" si="2"/>
        <v>Dec</v>
      </c>
    </row>
    <row r="34" spans="1:13" x14ac:dyDescent="0.3">
      <c r="A34" s="1" t="s">
        <v>52</v>
      </c>
      <c r="B34" s="1" t="s">
        <v>11</v>
      </c>
      <c r="C34" s="1" t="s">
        <v>15</v>
      </c>
      <c r="D34" s="1">
        <v>2</v>
      </c>
      <c r="E34" s="1">
        <v>1</v>
      </c>
      <c r="F34" s="1">
        <v>8077</v>
      </c>
      <c r="G34" s="2">
        <v>45843</v>
      </c>
      <c r="H34" s="2">
        <v>45850</v>
      </c>
      <c r="I34" s="1" t="s">
        <v>21</v>
      </c>
      <c r="J34" s="1">
        <v>1</v>
      </c>
      <c r="K34" s="1">
        <f t="shared" si="0"/>
        <v>7</v>
      </c>
      <c r="L34" s="1">
        <f t="shared" si="1"/>
        <v>56539</v>
      </c>
      <c r="M34" s="1" t="str">
        <f t="shared" si="2"/>
        <v>Jul</v>
      </c>
    </row>
    <row r="35" spans="1:13" x14ac:dyDescent="0.3">
      <c r="A35" s="1" t="s">
        <v>53</v>
      </c>
      <c r="B35" s="1" t="s">
        <v>11</v>
      </c>
      <c r="C35" s="1" t="s">
        <v>30</v>
      </c>
      <c r="D35" s="1">
        <v>2</v>
      </c>
      <c r="E35" s="1">
        <v>2</v>
      </c>
      <c r="F35" s="1">
        <v>8877</v>
      </c>
      <c r="G35" s="2">
        <v>45766</v>
      </c>
      <c r="H35" s="2">
        <v>45770</v>
      </c>
      <c r="I35" s="1" t="s">
        <v>23</v>
      </c>
      <c r="J35" s="1">
        <v>2</v>
      </c>
      <c r="K35" s="1">
        <f t="shared" si="0"/>
        <v>4</v>
      </c>
      <c r="L35" s="1">
        <f t="shared" si="1"/>
        <v>35508</v>
      </c>
      <c r="M35" s="1" t="str">
        <f t="shared" si="2"/>
        <v>Apr</v>
      </c>
    </row>
    <row r="36" spans="1:13" x14ac:dyDescent="0.3">
      <c r="A36" s="1" t="s">
        <v>54</v>
      </c>
      <c r="B36" s="1" t="s">
        <v>17</v>
      </c>
      <c r="C36" s="1" t="s">
        <v>18</v>
      </c>
      <c r="D36" s="1">
        <v>1</v>
      </c>
      <c r="E36" s="1">
        <v>0</v>
      </c>
      <c r="F36" s="1">
        <v>6408</v>
      </c>
      <c r="G36" s="2">
        <v>45777</v>
      </c>
      <c r="H36" s="2">
        <v>45781</v>
      </c>
      <c r="I36" s="1" t="s">
        <v>13</v>
      </c>
      <c r="J36" s="1">
        <v>1</v>
      </c>
      <c r="K36" s="1">
        <f t="shared" si="0"/>
        <v>4</v>
      </c>
      <c r="L36" s="1">
        <f t="shared" si="1"/>
        <v>25632</v>
      </c>
      <c r="M36" s="1" t="str">
        <f t="shared" si="2"/>
        <v>Apr</v>
      </c>
    </row>
    <row r="37" spans="1:13" x14ac:dyDescent="0.3">
      <c r="A37" s="1" t="s">
        <v>55</v>
      </c>
      <c r="B37" s="1" t="s">
        <v>11</v>
      </c>
      <c r="C37" s="1" t="s">
        <v>18</v>
      </c>
      <c r="D37" s="1">
        <v>1</v>
      </c>
      <c r="E37" s="1">
        <v>0</v>
      </c>
      <c r="F37" s="1">
        <v>7675</v>
      </c>
      <c r="G37" s="2">
        <v>45792</v>
      </c>
      <c r="H37" s="2">
        <v>45797</v>
      </c>
      <c r="I37" s="1" t="s">
        <v>19</v>
      </c>
      <c r="J37" s="1">
        <v>3</v>
      </c>
      <c r="K37" s="1">
        <f t="shared" si="0"/>
        <v>5</v>
      </c>
      <c r="L37" s="1">
        <f t="shared" si="1"/>
        <v>38375</v>
      </c>
      <c r="M37" s="1" t="str">
        <f t="shared" si="2"/>
        <v>May</v>
      </c>
    </row>
    <row r="38" spans="1:13" x14ac:dyDescent="0.3">
      <c r="A38" s="1" t="s">
        <v>56</v>
      </c>
      <c r="B38" s="1" t="s">
        <v>11</v>
      </c>
      <c r="C38" s="1" t="s">
        <v>30</v>
      </c>
      <c r="D38" s="1">
        <v>2</v>
      </c>
      <c r="E38" s="1">
        <v>2</v>
      </c>
      <c r="F38" s="1">
        <v>6234</v>
      </c>
      <c r="G38" s="2">
        <v>45830</v>
      </c>
      <c r="H38" s="2">
        <v>45837</v>
      </c>
      <c r="I38" s="1" t="s">
        <v>21</v>
      </c>
      <c r="J38" s="1">
        <v>2</v>
      </c>
      <c r="K38" s="1">
        <f t="shared" si="0"/>
        <v>7</v>
      </c>
      <c r="L38" s="1">
        <f t="shared" si="1"/>
        <v>43638</v>
      </c>
      <c r="M38" s="1" t="str">
        <f t="shared" si="2"/>
        <v>Jun</v>
      </c>
    </row>
    <row r="39" spans="1:13" x14ac:dyDescent="0.3">
      <c r="A39" s="1" t="s">
        <v>57</v>
      </c>
      <c r="B39" s="1" t="s">
        <v>11</v>
      </c>
      <c r="C39" s="1" t="s">
        <v>30</v>
      </c>
      <c r="D39" s="1">
        <v>4</v>
      </c>
      <c r="E39" s="1">
        <v>3</v>
      </c>
      <c r="F39" s="1">
        <v>5251</v>
      </c>
      <c r="G39" s="2">
        <v>45815</v>
      </c>
      <c r="H39" s="2">
        <v>45819</v>
      </c>
      <c r="I39" s="1" t="s">
        <v>23</v>
      </c>
      <c r="J39" s="1">
        <v>2</v>
      </c>
      <c r="K39" s="1">
        <f t="shared" si="0"/>
        <v>4</v>
      </c>
      <c r="L39" s="1">
        <f t="shared" si="1"/>
        <v>21004</v>
      </c>
      <c r="M39" s="1" t="str">
        <f t="shared" si="2"/>
        <v>Jun</v>
      </c>
    </row>
    <row r="40" spans="1:13" x14ac:dyDescent="0.3">
      <c r="A40" s="1" t="s">
        <v>58</v>
      </c>
      <c r="B40" s="1" t="s">
        <v>17</v>
      </c>
      <c r="C40" s="1" t="s">
        <v>15</v>
      </c>
      <c r="D40" s="1">
        <v>1</v>
      </c>
      <c r="E40" s="1">
        <v>1</v>
      </c>
      <c r="F40" s="1">
        <v>10355</v>
      </c>
      <c r="G40" s="2">
        <v>45665</v>
      </c>
      <c r="H40" s="2">
        <v>45669</v>
      </c>
      <c r="I40" s="1" t="s">
        <v>13</v>
      </c>
      <c r="J40" s="1">
        <v>2</v>
      </c>
      <c r="K40" s="1">
        <f t="shared" si="0"/>
        <v>4</v>
      </c>
      <c r="L40" s="1">
        <f t="shared" si="1"/>
        <v>41420</v>
      </c>
      <c r="M40" s="1" t="str">
        <f t="shared" si="2"/>
        <v>Jan</v>
      </c>
    </row>
    <row r="41" spans="1:13" x14ac:dyDescent="0.3">
      <c r="A41" s="1" t="s">
        <v>59</v>
      </c>
      <c r="B41" s="1" t="s">
        <v>11</v>
      </c>
      <c r="C41" s="1" t="s">
        <v>18</v>
      </c>
      <c r="D41" s="1">
        <v>2</v>
      </c>
      <c r="E41" s="1">
        <v>1</v>
      </c>
      <c r="F41" s="1">
        <v>5752</v>
      </c>
      <c r="G41" s="2">
        <v>45918</v>
      </c>
      <c r="H41" s="2">
        <v>45921</v>
      </c>
      <c r="I41" s="1" t="s">
        <v>23</v>
      </c>
      <c r="J41" s="1">
        <v>1</v>
      </c>
      <c r="K41" s="1">
        <f t="shared" si="0"/>
        <v>3</v>
      </c>
      <c r="L41" s="1">
        <f t="shared" si="1"/>
        <v>17256</v>
      </c>
      <c r="M41" s="1" t="str">
        <f t="shared" si="2"/>
        <v>Sep</v>
      </c>
    </row>
    <row r="42" spans="1:13" x14ac:dyDescent="0.3">
      <c r="A42" s="1" t="s">
        <v>60</v>
      </c>
      <c r="B42" s="1" t="s">
        <v>17</v>
      </c>
      <c r="C42" s="1" t="s">
        <v>15</v>
      </c>
      <c r="D42" s="1">
        <v>4</v>
      </c>
      <c r="E42" s="1">
        <v>1</v>
      </c>
      <c r="F42" s="1">
        <v>3281</v>
      </c>
      <c r="G42" s="2">
        <v>45959</v>
      </c>
      <c r="H42" s="2">
        <v>45965</v>
      </c>
      <c r="I42" s="1" t="s">
        <v>21</v>
      </c>
      <c r="J42" s="1">
        <v>1</v>
      </c>
      <c r="K42" s="1">
        <f t="shared" si="0"/>
        <v>6</v>
      </c>
      <c r="L42" s="1">
        <f t="shared" si="1"/>
        <v>19686</v>
      </c>
      <c r="M42" s="1" t="str">
        <f t="shared" si="2"/>
        <v>Oct</v>
      </c>
    </row>
    <row r="43" spans="1:13" x14ac:dyDescent="0.3">
      <c r="A43" s="1" t="s">
        <v>61</v>
      </c>
      <c r="B43" s="1" t="s">
        <v>17</v>
      </c>
      <c r="C43" s="1" t="s">
        <v>18</v>
      </c>
      <c r="D43" s="1">
        <v>1</v>
      </c>
      <c r="E43" s="1">
        <v>0</v>
      </c>
      <c r="F43" s="1">
        <v>9604</v>
      </c>
      <c r="G43" s="2">
        <v>45787</v>
      </c>
      <c r="H43" s="2">
        <v>45793</v>
      </c>
      <c r="I43" s="1" t="s">
        <v>23</v>
      </c>
      <c r="J43" s="1">
        <v>5</v>
      </c>
      <c r="K43" s="1">
        <f t="shared" si="0"/>
        <v>6</v>
      </c>
      <c r="L43" s="1">
        <f t="shared" si="1"/>
        <v>57624</v>
      </c>
      <c r="M43" s="1" t="str">
        <f t="shared" si="2"/>
        <v>May</v>
      </c>
    </row>
    <row r="44" spans="1:13" x14ac:dyDescent="0.3">
      <c r="A44" s="1" t="s">
        <v>62</v>
      </c>
      <c r="B44" s="1" t="s">
        <v>11</v>
      </c>
      <c r="C44" s="1" t="s">
        <v>18</v>
      </c>
      <c r="D44" s="1">
        <v>1</v>
      </c>
      <c r="E44" s="1">
        <v>2</v>
      </c>
      <c r="F44" s="1">
        <v>11880</v>
      </c>
      <c r="G44" s="2">
        <v>45676</v>
      </c>
      <c r="H44" s="2">
        <v>45680</v>
      </c>
      <c r="I44" s="1" t="s">
        <v>23</v>
      </c>
      <c r="J44" s="1">
        <v>1</v>
      </c>
      <c r="K44" s="1">
        <f t="shared" si="0"/>
        <v>4</v>
      </c>
      <c r="L44" s="1">
        <f t="shared" si="1"/>
        <v>47520</v>
      </c>
      <c r="M44" s="1" t="str">
        <f t="shared" si="2"/>
        <v>Jan</v>
      </c>
    </row>
    <row r="45" spans="1:13" x14ac:dyDescent="0.3">
      <c r="A45" s="1" t="s">
        <v>63</v>
      </c>
      <c r="B45" s="1" t="s">
        <v>17</v>
      </c>
      <c r="C45" s="1" t="s">
        <v>12</v>
      </c>
      <c r="D45" s="1">
        <v>3</v>
      </c>
      <c r="E45" s="1">
        <v>1</v>
      </c>
      <c r="F45" s="1">
        <v>4561</v>
      </c>
      <c r="G45" s="2">
        <v>45880</v>
      </c>
      <c r="H45" s="2">
        <v>45882</v>
      </c>
      <c r="I45" s="1" t="s">
        <v>23</v>
      </c>
      <c r="J45" s="1">
        <v>4</v>
      </c>
      <c r="K45" s="1">
        <f t="shared" si="0"/>
        <v>2</v>
      </c>
      <c r="L45" s="1">
        <f t="shared" si="1"/>
        <v>9122</v>
      </c>
      <c r="M45" s="1" t="str">
        <f t="shared" si="2"/>
        <v>Aug</v>
      </c>
    </row>
    <row r="46" spans="1:13" x14ac:dyDescent="0.3">
      <c r="A46" s="1" t="s">
        <v>64</v>
      </c>
      <c r="B46" s="1" t="s">
        <v>17</v>
      </c>
      <c r="C46" s="1" t="s">
        <v>15</v>
      </c>
      <c r="D46" s="1">
        <v>4</v>
      </c>
      <c r="E46" s="1">
        <v>0</v>
      </c>
      <c r="F46" s="1">
        <v>8060</v>
      </c>
      <c r="G46" s="2">
        <v>45954</v>
      </c>
      <c r="H46" s="2">
        <v>45961</v>
      </c>
      <c r="I46" s="1" t="s">
        <v>19</v>
      </c>
      <c r="J46" s="1">
        <v>2</v>
      </c>
      <c r="K46" s="1">
        <f t="shared" si="0"/>
        <v>7</v>
      </c>
      <c r="L46" s="1">
        <f t="shared" si="1"/>
        <v>56420</v>
      </c>
      <c r="M46" s="1" t="str">
        <f t="shared" si="2"/>
        <v>Oct</v>
      </c>
    </row>
    <row r="47" spans="1:13" x14ac:dyDescent="0.3">
      <c r="A47" s="1" t="s">
        <v>65</v>
      </c>
      <c r="B47" s="1" t="s">
        <v>17</v>
      </c>
      <c r="C47" s="1" t="s">
        <v>12</v>
      </c>
      <c r="D47" s="1">
        <v>3</v>
      </c>
      <c r="E47" s="1">
        <v>3</v>
      </c>
      <c r="F47" s="1">
        <v>4567</v>
      </c>
      <c r="G47" s="2">
        <v>45768</v>
      </c>
      <c r="H47" s="2">
        <v>45770</v>
      </c>
      <c r="I47" s="1" t="s">
        <v>13</v>
      </c>
      <c r="J47" s="1">
        <v>2</v>
      </c>
      <c r="K47" s="1">
        <f t="shared" si="0"/>
        <v>2</v>
      </c>
      <c r="L47" s="1">
        <f t="shared" si="1"/>
        <v>9134</v>
      </c>
      <c r="M47" s="1" t="str">
        <f t="shared" si="2"/>
        <v>Apr</v>
      </c>
    </row>
    <row r="48" spans="1:13" x14ac:dyDescent="0.3">
      <c r="A48" s="1" t="s">
        <v>66</v>
      </c>
      <c r="B48" s="1" t="s">
        <v>17</v>
      </c>
      <c r="C48" s="1" t="s">
        <v>12</v>
      </c>
      <c r="D48" s="1">
        <v>4</v>
      </c>
      <c r="E48" s="1">
        <v>2</v>
      </c>
      <c r="F48" s="1">
        <v>9312</v>
      </c>
      <c r="G48" s="2">
        <v>45691</v>
      </c>
      <c r="H48" s="2">
        <v>45696</v>
      </c>
      <c r="I48" s="1" t="s">
        <v>19</v>
      </c>
      <c r="J48" s="1">
        <v>3</v>
      </c>
      <c r="K48" s="1">
        <f t="shared" si="0"/>
        <v>5</v>
      </c>
      <c r="L48" s="1">
        <f t="shared" si="1"/>
        <v>46560</v>
      </c>
      <c r="M48" s="1" t="str">
        <f t="shared" si="2"/>
        <v>Feb</v>
      </c>
    </row>
    <row r="49" spans="1:13" x14ac:dyDescent="0.3">
      <c r="A49" s="1" t="s">
        <v>67</v>
      </c>
      <c r="B49" s="1" t="s">
        <v>17</v>
      </c>
      <c r="C49" s="1" t="s">
        <v>12</v>
      </c>
      <c r="D49" s="1">
        <v>2</v>
      </c>
      <c r="E49" s="1">
        <v>3</v>
      </c>
      <c r="F49" s="1">
        <v>7793</v>
      </c>
      <c r="G49" s="2">
        <v>45716</v>
      </c>
      <c r="H49" s="2">
        <v>45722</v>
      </c>
      <c r="I49" s="1" t="s">
        <v>19</v>
      </c>
      <c r="J49" s="1">
        <v>1</v>
      </c>
      <c r="K49" s="1">
        <f t="shared" si="0"/>
        <v>6</v>
      </c>
      <c r="L49" s="1">
        <f t="shared" si="1"/>
        <v>46758</v>
      </c>
      <c r="M49" s="1" t="str">
        <f t="shared" si="2"/>
        <v>Feb</v>
      </c>
    </row>
    <row r="50" spans="1:13" x14ac:dyDescent="0.3">
      <c r="A50" s="1" t="s">
        <v>68</v>
      </c>
      <c r="B50" s="1" t="s">
        <v>17</v>
      </c>
      <c r="C50" s="1" t="s">
        <v>18</v>
      </c>
      <c r="D50" s="1">
        <v>1</v>
      </c>
      <c r="E50" s="1">
        <v>0</v>
      </c>
      <c r="F50" s="1">
        <v>4539</v>
      </c>
      <c r="G50" s="2">
        <v>45681</v>
      </c>
      <c r="H50" s="2">
        <v>45682</v>
      </c>
      <c r="I50" s="1" t="s">
        <v>19</v>
      </c>
      <c r="J50" s="1">
        <v>5</v>
      </c>
      <c r="K50" s="1">
        <f t="shared" si="0"/>
        <v>1</v>
      </c>
      <c r="L50" s="1">
        <f t="shared" si="1"/>
        <v>4539</v>
      </c>
      <c r="M50" s="1" t="str">
        <f t="shared" si="2"/>
        <v>Jan</v>
      </c>
    </row>
    <row r="51" spans="1:13" x14ac:dyDescent="0.3">
      <c r="A51" s="1" t="s">
        <v>69</v>
      </c>
      <c r="B51" s="1" t="s">
        <v>17</v>
      </c>
      <c r="C51" s="1" t="s">
        <v>15</v>
      </c>
      <c r="D51" s="1">
        <v>2</v>
      </c>
      <c r="E51" s="1">
        <v>1</v>
      </c>
      <c r="F51" s="1">
        <v>11602</v>
      </c>
      <c r="G51" s="2">
        <v>45980</v>
      </c>
      <c r="H51" s="2">
        <v>45983</v>
      </c>
      <c r="I51" s="1" t="s">
        <v>21</v>
      </c>
      <c r="J51" s="1">
        <v>3</v>
      </c>
      <c r="K51" s="1">
        <f t="shared" si="0"/>
        <v>3</v>
      </c>
      <c r="L51" s="1">
        <f t="shared" si="1"/>
        <v>34806</v>
      </c>
      <c r="M51" s="1" t="str">
        <f t="shared" si="2"/>
        <v>Nov</v>
      </c>
    </row>
    <row r="52" spans="1:13" x14ac:dyDescent="0.3">
      <c r="A52" s="1" t="s">
        <v>70</v>
      </c>
      <c r="B52" s="1" t="s">
        <v>17</v>
      </c>
      <c r="C52" s="1" t="s">
        <v>30</v>
      </c>
      <c r="D52" s="1">
        <v>1</v>
      </c>
      <c r="E52" s="1">
        <v>1</v>
      </c>
      <c r="F52" s="1">
        <v>2668</v>
      </c>
      <c r="G52" s="2">
        <v>45944</v>
      </c>
      <c r="H52" s="2">
        <v>45950</v>
      </c>
      <c r="I52" s="1" t="s">
        <v>21</v>
      </c>
      <c r="J52" s="1">
        <v>2</v>
      </c>
      <c r="K52" s="1">
        <f t="shared" si="0"/>
        <v>6</v>
      </c>
      <c r="L52" s="1">
        <f t="shared" si="1"/>
        <v>16008</v>
      </c>
      <c r="M52" s="1" t="str">
        <f t="shared" si="2"/>
        <v>Oct</v>
      </c>
    </row>
    <row r="53" spans="1:13" x14ac:dyDescent="0.3">
      <c r="A53" s="1" t="s">
        <v>71</v>
      </c>
      <c r="B53" s="1" t="s">
        <v>11</v>
      </c>
      <c r="C53" s="1" t="s">
        <v>15</v>
      </c>
      <c r="D53" s="1">
        <v>1</v>
      </c>
      <c r="E53" s="1">
        <v>0</v>
      </c>
      <c r="F53" s="1">
        <v>11970</v>
      </c>
      <c r="G53" s="2">
        <v>45951</v>
      </c>
      <c r="H53" s="2">
        <v>45956</v>
      </c>
      <c r="I53" s="1" t="s">
        <v>19</v>
      </c>
      <c r="J53" s="1">
        <v>5</v>
      </c>
      <c r="K53" s="1">
        <f t="shared" si="0"/>
        <v>5</v>
      </c>
      <c r="L53" s="1">
        <f t="shared" si="1"/>
        <v>59850</v>
      </c>
      <c r="M53" s="1" t="str">
        <f t="shared" si="2"/>
        <v>Oct</v>
      </c>
    </row>
    <row r="54" spans="1:13" x14ac:dyDescent="0.3">
      <c r="A54" s="1" t="s">
        <v>72</v>
      </c>
      <c r="B54" s="1" t="s">
        <v>17</v>
      </c>
      <c r="C54" s="1" t="s">
        <v>15</v>
      </c>
      <c r="D54" s="1">
        <v>4</v>
      </c>
      <c r="E54" s="1">
        <v>0</v>
      </c>
      <c r="F54" s="1">
        <v>5499</v>
      </c>
      <c r="G54" s="2">
        <v>45795</v>
      </c>
      <c r="H54" s="2">
        <v>45796</v>
      </c>
      <c r="I54" s="1" t="s">
        <v>21</v>
      </c>
      <c r="J54" s="1">
        <v>5</v>
      </c>
      <c r="K54" s="1">
        <f t="shared" si="0"/>
        <v>1</v>
      </c>
      <c r="L54" s="1">
        <f t="shared" si="1"/>
        <v>5499</v>
      </c>
      <c r="M54" s="1" t="str">
        <f t="shared" si="2"/>
        <v>May</v>
      </c>
    </row>
    <row r="55" spans="1:13" x14ac:dyDescent="0.3">
      <c r="A55" s="1" t="s">
        <v>73</v>
      </c>
      <c r="B55" s="1" t="s">
        <v>17</v>
      </c>
      <c r="C55" s="1" t="s">
        <v>12</v>
      </c>
      <c r="D55" s="1">
        <v>3</v>
      </c>
      <c r="E55" s="1">
        <v>0</v>
      </c>
      <c r="F55" s="1">
        <v>6266</v>
      </c>
      <c r="G55" s="2">
        <v>45882</v>
      </c>
      <c r="H55" s="2">
        <v>45888</v>
      </c>
      <c r="I55" s="1" t="s">
        <v>21</v>
      </c>
      <c r="J55" s="1">
        <v>4</v>
      </c>
      <c r="K55" s="1">
        <f t="shared" si="0"/>
        <v>6</v>
      </c>
      <c r="L55" s="1">
        <f t="shared" si="1"/>
        <v>37596</v>
      </c>
      <c r="M55" s="1" t="str">
        <f t="shared" si="2"/>
        <v>Aug</v>
      </c>
    </row>
    <row r="56" spans="1:13" x14ac:dyDescent="0.3">
      <c r="A56" s="1" t="s">
        <v>74</v>
      </c>
      <c r="B56" s="1" t="s">
        <v>17</v>
      </c>
      <c r="C56" s="1" t="s">
        <v>18</v>
      </c>
      <c r="D56" s="1">
        <v>1</v>
      </c>
      <c r="E56" s="1">
        <v>3</v>
      </c>
      <c r="F56" s="1">
        <v>11285</v>
      </c>
      <c r="G56" s="2">
        <v>45959</v>
      </c>
      <c r="H56" s="2">
        <v>45963</v>
      </c>
      <c r="I56" s="1" t="s">
        <v>19</v>
      </c>
      <c r="J56" s="1">
        <v>5</v>
      </c>
      <c r="K56" s="1">
        <f t="shared" si="0"/>
        <v>4</v>
      </c>
      <c r="L56" s="1">
        <f t="shared" si="1"/>
        <v>45140</v>
      </c>
      <c r="M56" s="1" t="str">
        <f t="shared" si="2"/>
        <v>Oct</v>
      </c>
    </row>
    <row r="57" spans="1:13" x14ac:dyDescent="0.3">
      <c r="A57" s="1" t="s">
        <v>75</v>
      </c>
      <c r="B57" s="1" t="s">
        <v>17</v>
      </c>
      <c r="C57" s="1" t="s">
        <v>30</v>
      </c>
      <c r="D57" s="1">
        <v>2</v>
      </c>
      <c r="E57" s="1">
        <v>2</v>
      </c>
      <c r="F57" s="1">
        <v>4293</v>
      </c>
      <c r="G57" s="2">
        <v>45674</v>
      </c>
      <c r="H57" s="2">
        <v>45680</v>
      </c>
      <c r="I57" s="1" t="s">
        <v>13</v>
      </c>
      <c r="J57" s="1">
        <v>5</v>
      </c>
      <c r="K57" s="1">
        <f t="shared" si="0"/>
        <v>6</v>
      </c>
      <c r="L57" s="1">
        <f t="shared" si="1"/>
        <v>25758</v>
      </c>
      <c r="M57" s="1" t="str">
        <f t="shared" si="2"/>
        <v>Jan</v>
      </c>
    </row>
    <row r="58" spans="1:13" x14ac:dyDescent="0.3">
      <c r="A58" s="1" t="s">
        <v>76</v>
      </c>
      <c r="B58" s="1" t="s">
        <v>11</v>
      </c>
      <c r="C58" s="1" t="s">
        <v>18</v>
      </c>
      <c r="D58" s="1">
        <v>2</v>
      </c>
      <c r="E58" s="1">
        <v>3</v>
      </c>
      <c r="F58" s="1">
        <v>10679</v>
      </c>
      <c r="G58" s="2">
        <v>46000</v>
      </c>
      <c r="H58" s="2">
        <v>46005</v>
      </c>
      <c r="I58" s="1" t="s">
        <v>23</v>
      </c>
      <c r="J58" s="1">
        <v>1</v>
      </c>
      <c r="K58" s="1">
        <f t="shared" si="0"/>
        <v>5</v>
      </c>
      <c r="L58" s="1">
        <f t="shared" si="1"/>
        <v>53395</v>
      </c>
      <c r="M58" s="1" t="str">
        <f t="shared" si="2"/>
        <v>Dec</v>
      </c>
    </row>
    <row r="59" spans="1:13" x14ac:dyDescent="0.3">
      <c r="A59" s="1" t="s">
        <v>77</v>
      </c>
      <c r="B59" s="1" t="s">
        <v>17</v>
      </c>
      <c r="C59" s="1" t="s">
        <v>12</v>
      </c>
      <c r="D59" s="1">
        <v>2</v>
      </c>
      <c r="E59" s="1">
        <v>2</v>
      </c>
      <c r="F59" s="1">
        <v>10782</v>
      </c>
      <c r="G59" s="2">
        <v>45750</v>
      </c>
      <c r="H59" s="2">
        <v>45756</v>
      </c>
      <c r="I59" s="1" t="s">
        <v>23</v>
      </c>
      <c r="J59" s="1">
        <v>2</v>
      </c>
      <c r="K59" s="1">
        <f t="shared" si="0"/>
        <v>6</v>
      </c>
      <c r="L59" s="1">
        <f t="shared" si="1"/>
        <v>64692</v>
      </c>
      <c r="M59" s="1" t="str">
        <f t="shared" si="2"/>
        <v>Apr</v>
      </c>
    </row>
    <row r="60" spans="1:13" x14ac:dyDescent="0.3">
      <c r="A60" s="1" t="s">
        <v>78</v>
      </c>
      <c r="B60" s="1" t="s">
        <v>17</v>
      </c>
      <c r="C60" s="1" t="s">
        <v>12</v>
      </c>
      <c r="D60" s="1">
        <v>2</v>
      </c>
      <c r="E60" s="1">
        <v>0</v>
      </c>
      <c r="F60" s="1">
        <v>3144</v>
      </c>
      <c r="G60" s="2">
        <v>45861</v>
      </c>
      <c r="H60" s="2">
        <v>45866</v>
      </c>
      <c r="I60" s="1" t="s">
        <v>23</v>
      </c>
      <c r="J60" s="1">
        <v>4</v>
      </c>
      <c r="K60" s="1">
        <f t="shared" si="0"/>
        <v>5</v>
      </c>
      <c r="L60" s="1">
        <f t="shared" si="1"/>
        <v>15720</v>
      </c>
      <c r="M60" s="1" t="str">
        <f t="shared" si="2"/>
        <v>Jul</v>
      </c>
    </row>
    <row r="61" spans="1:13" x14ac:dyDescent="0.3">
      <c r="A61" s="1" t="s">
        <v>79</v>
      </c>
      <c r="B61" s="1" t="s">
        <v>11</v>
      </c>
      <c r="C61" s="1" t="s">
        <v>12</v>
      </c>
      <c r="D61" s="1">
        <v>3</v>
      </c>
      <c r="E61" s="1">
        <v>3</v>
      </c>
      <c r="F61" s="1">
        <v>5026</v>
      </c>
      <c r="G61" s="2">
        <v>45865</v>
      </c>
      <c r="H61" s="2">
        <v>45871</v>
      </c>
      <c r="I61" s="1" t="s">
        <v>19</v>
      </c>
      <c r="J61" s="1">
        <v>3</v>
      </c>
      <c r="K61" s="1">
        <f t="shared" si="0"/>
        <v>6</v>
      </c>
      <c r="L61" s="1">
        <f t="shared" si="1"/>
        <v>30156</v>
      </c>
      <c r="M61" s="1" t="str">
        <f t="shared" si="2"/>
        <v>Jul</v>
      </c>
    </row>
    <row r="62" spans="1:13" x14ac:dyDescent="0.3">
      <c r="A62" s="1" t="s">
        <v>80</v>
      </c>
      <c r="B62" s="1" t="s">
        <v>11</v>
      </c>
      <c r="C62" s="1" t="s">
        <v>15</v>
      </c>
      <c r="D62" s="1">
        <v>3</v>
      </c>
      <c r="E62" s="1">
        <v>3</v>
      </c>
      <c r="F62" s="1">
        <v>3334</v>
      </c>
      <c r="G62" s="2">
        <v>45710</v>
      </c>
      <c r="H62" s="2">
        <v>45713</v>
      </c>
      <c r="I62" s="1" t="s">
        <v>23</v>
      </c>
      <c r="J62" s="1">
        <v>4</v>
      </c>
      <c r="K62" s="1">
        <f t="shared" si="0"/>
        <v>3</v>
      </c>
      <c r="L62" s="1">
        <f t="shared" si="1"/>
        <v>10002</v>
      </c>
      <c r="M62" s="1" t="str">
        <f t="shared" si="2"/>
        <v>Feb</v>
      </c>
    </row>
    <row r="63" spans="1:13" x14ac:dyDescent="0.3">
      <c r="A63" s="1" t="s">
        <v>81</v>
      </c>
      <c r="B63" s="1" t="s">
        <v>17</v>
      </c>
      <c r="C63" s="1" t="s">
        <v>30</v>
      </c>
      <c r="D63" s="1">
        <v>2</v>
      </c>
      <c r="E63" s="1">
        <v>1</v>
      </c>
      <c r="F63" s="1">
        <v>4568</v>
      </c>
      <c r="G63" s="2">
        <v>45983</v>
      </c>
      <c r="H63" s="2">
        <v>45984</v>
      </c>
      <c r="I63" s="1" t="s">
        <v>13</v>
      </c>
      <c r="J63" s="1">
        <v>3</v>
      </c>
      <c r="K63" s="1">
        <f t="shared" si="0"/>
        <v>1</v>
      </c>
      <c r="L63" s="1">
        <f t="shared" si="1"/>
        <v>4568</v>
      </c>
      <c r="M63" s="1" t="str">
        <f t="shared" si="2"/>
        <v>Nov</v>
      </c>
    </row>
    <row r="64" spans="1:13" x14ac:dyDescent="0.3">
      <c r="A64" s="1" t="s">
        <v>82</v>
      </c>
      <c r="B64" s="1" t="s">
        <v>11</v>
      </c>
      <c r="C64" s="1" t="s">
        <v>30</v>
      </c>
      <c r="D64" s="1">
        <v>1</v>
      </c>
      <c r="E64" s="1">
        <v>1</v>
      </c>
      <c r="F64" s="1">
        <v>7573</v>
      </c>
      <c r="G64" s="2">
        <v>45674</v>
      </c>
      <c r="H64" s="2">
        <v>45677</v>
      </c>
      <c r="I64" s="1" t="s">
        <v>21</v>
      </c>
      <c r="J64" s="1">
        <v>4</v>
      </c>
      <c r="K64" s="1">
        <f t="shared" si="0"/>
        <v>3</v>
      </c>
      <c r="L64" s="1">
        <f t="shared" si="1"/>
        <v>22719</v>
      </c>
      <c r="M64" s="1" t="str">
        <f t="shared" si="2"/>
        <v>Jan</v>
      </c>
    </row>
    <row r="65" spans="1:13" x14ac:dyDescent="0.3">
      <c r="A65" s="1" t="s">
        <v>83</v>
      </c>
      <c r="B65" s="1" t="s">
        <v>11</v>
      </c>
      <c r="C65" s="1" t="s">
        <v>30</v>
      </c>
      <c r="D65" s="1">
        <v>4</v>
      </c>
      <c r="E65" s="1">
        <v>1</v>
      </c>
      <c r="F65" s="1">
        <v>9300</v>
      </c>
      <c r="G65" s="2">
        <v>45900</v>
      </c>
      <c r="H65" s="2">
        <v>45901</v>
      </c>
      <c r="I65" s="1" t="s">
        <v>13</v>
      </c>
      <c r="J65" s="1">
        <v>1</v>
      </c>
      <c r="K65" s="1">
        <f t="shared" si="0"/>
        <v>1</v>
      </c>
      <c r="L65" s="1">
        <f t="shared" si="1"/>
        <v>9300</v>
      </c>
      <c r="M65" s="1" t="str">
        <f t="shared" si="2"/>
        <v>Aug</v>
      </c>
    </row>
    <row r="66" spans="1:13" x14ac:dyDescent="0.3">
      <c r="A66" s="1" t="s">
        <v>84</v>
      </c>
      <c r="B66" s="1" t="s">
        <v>17</v>
      </c>
      <c r="C66" s="1" t="s">
        <v>15</v>
      </c>
      <c r="D66" s="1">
        <v>1</v>
      </c>
      <c r="E66" s="1">
        <v>3</v>
      </c>
      <c r="F66" s="1">
        <v>6686</v>
      </c>
      <c r="G66" s="2">
        <v>45873</v>
      </c>
      <c r="H66" s="2">
        <v>45880</v>
      </c>
      <c r="I66" s="1" t="s">
        <v>19</v>
      </c>
      <c r="J66" s="1">
        <v>2</v>
      </c>
      <c r="K66" s="1">
        <f t="shared" si="0"/>
        <v>7</v>
      </c>
      <c r="L66" s="1">
        <f t="shared" si="1"/>
        <v>46802</v>
      </c>
      <c r="M66" s="1" t="str">
        <f t="shared" si="2"/>
        <v>Aug</v>
      </c>
    </row>
    <row r="67" spans="1:13" x14ac:dyDescent="0.3">
      <c r="A67" s="1" t="s">
        <v>85</v>
      </c>
      <c r="B67" s="1" t="s">
        <v>17</v>
      </c>
      <c r="C67" s="1" t="s">
        <v>18</v>
      </c>
      <c r="D67" s="1">
        <v>3</v>
      </c>
      <c r="E67" s="1">
        <v>2</v>
      </c>
      <c r="F67" s="1">
        <v>3501</v>
      </c>
      <c r="G67" s="2">
        <v>45917</v>
      </c>
      <c r="H67" s="2">
        <v>45922</v>
      </c>
      <c r="I67" s="1" t="s">
        <v>19</v>
      </c>
      <c r="J67" s="1">
        <v>5</v>
      </c>
      <c r="K67" s="1">
        <f t="shared" ref="K67:K130" si="3">H67-G67</f>
        <v>5</v>
      </c>
      <c r="L67" s="1">
        <f t="shared" ref="L67:L130" si="4">K67*F67</f>
        <v>17505</v>
      </c>
      <c r="M67" s="1" t="str">
        <f t="shared" ref="M67:M130" si="5">TEXT(G67,"mmm")</f>
        <v>Sep</v>
      </c>
    </row>
    <row r="68" spans="1:13" x14ac:dyDescent="0.3">
      <c r="A68" s="1" t="s">
        <v>86</v>
      </c>
      <c r="B68" s="1" t="s">
        <v>17</v>
      </c>
      <c r="C68" s="1" t="s">
        <v>15</v>
      </c>
      <c r="D68" s="1">
        <v>3</v>
      </c>
      <c r="E68" s="1">
        <v>0</v>
      </c>
      <c r="F68" s="1">
        <v>7816</v>
      </c>
      <c r="G68" s="2">
        <v>45739</v>
      </c>
      <c r="H68" s="2">
        <v>45745</v>
      </c>
      <c r="I68" s="1" t="s">
        <v>21</v>
      </c>
      <c r="J68" s="1">
        <v>4</v>
      </c>
      <c r="K68" s="1">
        <f t="shared" si="3"/>
        <v>6</v>
      </c>
      <c r="L68" s="1">
        <f t="shared" si="4"/>
        <v>46896</v>
      </c>
      <c r="M68" s="1" t="str">
        <f t="shared" si="5"/>
        <v>Mar</v>
      </c>
    </row>
    <row r="69" spans="1:13" x14ac:dyDescent="0.3">
      <c r="A69" s="1" t="s">
        <v>87</v>
      </c>
      <c r="B69" s="1" t="s">
        <v>17</v>
      </c>
      <c r="C69" s="1" t="s">
        <v>12</v>
      </c>
      <c r="D69" s="1">
        <v>2</v>
      </c>
      <c r="E69" s="1">
        <v>1</v>
      </c>
      <c r="F69" s="1">
        <v>7151</v>
      </c>
      <c r="G69" s="2">
        <v>45925</v>
      </c>
      <c r="H69" s="2">
        <v>45927</v>
      </c>
      <c r="I69" s="1" t="s">
        <v>23</v>
      </c>
      <c r="J69" s="1">
        <v>1</v>
      </c>
      <c r="K69" s="1">
        <f t="shared" si="3"/>
        <v>2</v>
      </c>
      <c r="L69" s="1">
        <f t="shared" si="4"/>
        <v>14302</v>
      </c>
      <c r="M69" s="1" t="str">
        <f t="shared" si="5"/>
        <v>Sep</v>
      </c>
    </row>
    <row r="70" spans="1:13" x14ac:dyDescent="0.3">
      <c r="A70" s="1" t="s">
        <v>88</v>
      </c>
      <c r="B70" s="1" t="s">
        <v>11</v>
      </c>
      <c r="C70" s="1" t="s">
        <v>12</v>
      </c>
      <c r="D70" s="1">
        <v>1</v>
      </c>
      <c r="E70" s="1">
        <v>0</v>
      </c>
      <c r="F70" s="1">
        <v>5389</v>
      </c>
      <c r="G70" s="2">
        <v>45963</v>
      </c>
      <c r="H70" s="2">
        <v>45967</v>
      </c>
      <c r="I70" s="1" t="s">
        <v>21</v>
      </c>
      <c r="J70" s="1">
        <v>5</v>
      </c>
      <c r="K70" s="1">
        <f t="shared" si="3"/>
        <v>4</v>
      </c>
      <c r="L70" s="1">
        <f t="shared" si="4"/>
        <v>21556</v>
      </c>
      <c r="M70" s="1" t="str">
        <f t="shared" si="5"/>
        <v>Nov</v>
      </c>
    </row>
    <row r="71" spans="1:13" x14ac:dyDescent="0.3">
      <c r="A71" s="1" t="s">
        <v>89</v>
      </c>
      <c r="B71" s="1" t="s">
        <v>11</v>
      </c>
      <c r="C71" s="1" t="s">
        <v>30</v>
      </c>
      <c r="D71" s="1">
        <v>2</v>
      </c>
      <c r="E71" s="1">
        <v>0</v>
      </c>
      <c r="F71" s="1">
        <v>7159</v>
      </c>
      <c r="G71" s="2">
        <v>45819</v>
      </c>
      <c r="H71" s="2">
        <v>45824</v>
      </c>
      <c r="I71" s="1" t="s">
        <v>23</v>
      </c>
      <c r="J71" s="1">
        <v>4</v>
      </c>
      <c r="K71" s="1">
        <f t="shared" si="3"/>
        <v>5</v>
      </c>
      <c r="L71" s="1">
        <f t="shared" si="4"/>
        <v>35795</v>
      </c>
      <c r="M71" s="1" t="str">
        <f t="shared" si="5"/>
        <v>Jun</v>
      </c>
    </row>
    <row r="72" spans="1:13" x14ac:dyDescent="0.3">
      <c r="A72" s="1" t="s">
        <v>90</v>
      </c>
      <c r="B72" s="1" t="s">
        <v>17</v>
      </c>
      <c r="C72" s="1" t="s">
        <v>18</v>
      </c>
      <c r="D72" s="1">
        <v>2</v>
      </c>
      <c r="E72" s="1">
        <v>1</v>
      </c>
      <c r="F72" s="1">
        <v>9307</v>
      </c>
      <c r="G72" s="2">
        <v>45817</v>
      </c>
      <c r="H72" s="2">
        <v>45821</v>
      </c>
      <c r="I72" s="1" t="s">
        <v>13</v>
      </c>
      <c r="J72" s="1">
        <v>5</v>
      </c>
      <c r="K72" s="1">
        <f t="shared" si="3"/>
        <v>4</v>
      </c>
      <c r="L72" s="1">
        <f t="shared" si="4"/>
        <v>37228</v>
      </c>
      <c r="M72" s="1" t="str">
        <f t="shared" si="5"/>
        <v>Jun</v>
      </c>
    </row>
    <row r="73" spans="1:13" x14ac:dyDescent="0.3">
      <c r="A73" s="1" t="s">
        <v>91</v>
      </c>
      <c r="B73" s="1" t="s">
        <v>11</v>
      </c>
      <c r="C73" s="1" t="s">
        <v>18</v>
      </c>
      <c r="D73" s="1">
        <v>1</v>
      </c>
      <c r="E73" s="1">
        <v>2</v>
      </c>
      <c r="F73" s="1">
        <v>7264</v>
      </c>
      <c r="G73" s="2">
        <v>45705</v>
      </c>
      <c r="H73" s="2">
        <v>45708</v>
      </c>
      <c r="I73" s="1" t="s">
        <v>13</v>
      </c>
      <c r="J73" s="1">
        <v>1</v>
      </c>
      <c r="K73" s="1">
        <f t="shared" si="3"/>
        <v>3</v>
      </c>
      <c r="L73" s="1">
        <f t="shared" si="4"/>
        <v>21792</v>
      </c>
      <c r="M73" s="1" t="str">
        <f t="shared" si="5"/>
        <v>Feb</v>
      </c>
    </row>
    <row r="74" spans="1:13" x14ac:dyDescent="0.3">
      <c r="A74" s="1" t="s">
        <v>92</v>
      </c>
      <c r="B74" s="1" t="s">
        <v>17</v>
      </c>
      <c r="C74" s="1" t="s">
        <v>18</v>
      </c>
      <c r="D74" s="1">
        <v>1</v>
      </c>
      <c r="E74" s="1">
        <v>1</v>
      </c>
      <c r="F74" s="1">
        <v>8983</v>
      </c>
      <c r="G74" s="2">
        <v>45673</v>
      </c>
      <c r="H74" s="2">
        <v>45675</v>
      </c>
      <c r="I74" s="1" t="s">
        <v>19</v>
      </c>
      <c r="J74" s="1">
        <v>3</v>
      </c>
      <c r="K74" s="1">
        <f t="shared" si="3"/>
        <v>2</v>
      </c>
      <c r="L74" s="1">
        <f t="shared" si="4"/>
        <v>17966</v>
      </c>
      <c r="M74" s="1" t="str">
        <f t="shared" si="5"/>
        <v>Jan</v>
      </c>
    </row>
    <row r="75" spans="1:13" x14ac:dyDescent="0.3">
      <c r="A75" s="1" t="s">
        <v>93</v>
      </c>
      <c r="B75" s="1" t="s">
        <v>17</v>
      </c>
      <c r="C75" s="1" t="s">
        <v>18</v>
      </c>
      <c r="D75" s="1">
        <v>4</v>
      </c>
      <c r="E75" s="1">
        <v>2</v>
      </c>
      <c r="F75" s="1">
        <v>9130</v>
      </c>
      <c r="G75" s="2">
        <v>45815</v>
      </c>
      <c r="H75" s="2">
        <v>45820</v>
      </c>
      <c r="I75" s="1" t="s">
        <v>19</v>
      </c>
      <c r="J75" s="1">
        <v>2</v>
      </c>
      <c r="K75" s="1">
        <f t="shared" si="3"/>
        <v>5</v>
      </c>
      <c r="L75" s="1">
        <f t="shared" si="4"/>
        <v>45650</v>
      </c>
      <c r="M75" s="1" t="str">
        <f t="shared" si="5"/>
        <v>Jun</v>
      </c>
    </row>
    <row r="76" spans="1:13" x14ac:dyDescent="0.3">
      <c r="A76" s="1" t="s">
        <v>94</v>
      </c>
      <c r="B76" s="1" t="s">
        <v>11</v>
      </c>
      <c r="C76" s="1" t="s">
        <v>15</v>
      </c>
      <c r="D76" s="1">
        <v>2</v>
      </c>
      <c r="E76" s="1">
        <v>2</v>
      </c>
      <c r="F76" s="1">
        <v>9534</v>
      </c>
      <c r="G76" s="2">
        <v>45937</v>
      </c>
      <c r="H76" s="2">
        <v>45942</v>
      </c>
      <c r="I76" s="1" t="s">
        <v>23</v>
      </c>
      <c r="J76" s="1">
        <v>1</v>
      </c>
      <c r="K76" s="1">
        <f t="shared" si="3"/>
        <v>5</v>
      </c>
      <c r="L76" s="1">
        <f t="shared" si="4"/>
        <v>47670</v>
      </c>
      <c r="M76" s="1" t="str">
        <f t="shared" si="5"/>
        <v>Oct</v>
      </c>
    </row>
    <row r="77" spans="1:13" x14ac:dyDescent="0.3">
      <c r="A77" s="1" t="s">
        <v>95</v>
      </c>
      <c r="B77" s="1" t="s">
        <v>11</v>
      </c>
      <c r="C77" s="1" t="s">
        <v>12</v>
      </c>
      <c r="D77" s="1">
        <v>2</v>
      </c>
      <c r="E77" s="1">
        <v>3</v>
      </c>
      <c r="F77" s="1">
        <v>6247</v>
      </c>
      <c r="G77" s="2">
        <v>46008</v>
      </c>
      <c r="H77" s="2">
        <v>46013</v>
      </c>
      <c r="I77" s="1" t="s">
        <v>23</v>
      </c>
      <c r="J77" s="1">
        <v>4</v>
      </c>
      <c r="K77" s="1">
        <f t="shared" si="3"/>
        <v>5</v>
      </c>
      <c r="L77" s="1">
        <f t="shared" si="4"/>
        <v>31235</v>
      </c>
      <c r="M77" s="1" t="str">
        <f t="shared" si="5"/>
        <v>Dec</v>
      </c>
    </row>
    <row r="78" spans="1:13" x14ac:dyDescent="0.3">
      <c r="A78" s="1" t="s">
        <v>96</v>
      </c>
      <c r="B78" s="1" t="s">
        <v>11</v>
      </c>
      <c r="C78" s="1" t="s">
        <v>12</v>
      </c>
      <c r="D78" s="1">
        <v>1</v>
      </c>
      <c r="E78" s="1">
        <v>2</v>
      </c>
      <c r="F78" s="1">
        <v>11585</v>
      </c>
      <c r="G78" s="2">
        <v>45859</v>
      </c>
      <c r="H78" s="2">
        <v>45862</v>
      </c>
      <c r="I78" s="1" t="s">
        <v>19</v>
      </c>
      <c r="J78" s="1">
        <v>4</v>
      </c>
      <c r="K78" s="1">
        <f t="shared" si="3"/>
        <v>3</v>
      </c>
      <c r="L78" s="1">
        <f t="shared" si="4"/>
        <v>34755</v>
      </c>
      <c r="M78" s="1" t="str">
        <f t="shared" si="5"/>
        <v>Jul</v>
      </c>
    </row>
    <row r="79" spans="1:13" x14ac:dyDescent="0.3">
      <c r="A79" s="1" t="s">
        <v>97</v>
      </c>
      <c r="B79" s="1" t="s">
        <v>17</v>
      </c>
      <c r="C79" s="1" t="s">
        <v>12</v>
      </c>
      <c r="D79" s="1">
        <v>1</v>
      </c>
      <c r="E79" s="1">
        <v>3</v>
      </c>
      <c r="F79" s="1">
        <v>8561</v>
      </c>
      <c r="G79" s="2">
        <v>45731</v>
      </c>
      <c r="H79" s="2">
        <v>45732</v>
      </c>
      <c r="I79" s="1" t="s">
        <v>19</v>
      </c>
      <c r="J79" s="1">
        <v>3</v>
      </c>
      <c r="K79" s="1">
        <f t="shared" si="3"/>
        <v>1</v>
      </c>
      <c r="L79" s="1">
        <f t="shared" si="4"/>
        <v>8561</v>
      </c>
      <c r="M79" s="1" t="str">
        <f t="shared" si="5"/>
        <v>Mar</v>
      </c>
    </row>
    <row r="80" spans="1:13" x14ac:dyDescent="0.3">
      <c r="A80" s="1" t="s">
        <v>98</v>
      </c>
      <c r="B80" s="1" t="s">
        <v>17</v>
      </c>
      <c r="C80" s="1" t="s">
        <v>12</v>
      </c>
      <c r="D80" s="1">
        <v>3</v>
      </c>
      <c r="E80" s="1">
        <v>3</v>
      </c>
      <c r="F80" s="1">
        <v>6278</v>
      </c>
      <c r="G80" s="2">
        <v>45890</v>
      </c>
      <c r="H80" s="2">
        <v>45897</v>
      </c>
      <c r="I80" s="1" t="s">
        <v>19</v>
      </c>
      <c r="J80" s="1">
        <v>5</v>
      </c>
      <c r="K80" s="1">
        <f t="shared" si="3"/>
        <v>7</v>
      </c>
      <c r="L80" s="1">
        <f t="shared" si="4"/>
        <v>43946</v>
      </c>
      <c r="M80" s="1" t="str">
        <f t="shared" si="5"/>
        <v>Aug</v>
      </c>
    </row>
    <row r="81" spans="1:13" x14ac:dyDescent="0.3">
      <c r="A81" s="1" t="s">
        <v>99</v>
      </c>
      <c r="B81" s="1" t="s">
        <v>17</v>
      </c>
      <c r="C81" s="1" t="s">
        <v>12</v>
      </c>
      <c r="D81" s="1">
        <v>4</v>
      </c>
      <c r="E81" s="1">
        <v>3</v>
      </c>
      <c r="F81" s="1">
        <v>7209</v>
      </c>
      <c r="G81" s="2">
        <v>45704</v>
      </c>
      <c r="H81" s="2">
        <v>45706</v>
      </c>
      <c r="I81" s="1" t="s">
        <v>19</v>
      </c>
      <c r="J81" s="1">
        <v>1</v>
      </c>
      <c r="K81" s="1">
        <f t="shared" si="3"/>
        <v>2</v>
      </c>
      <c r="L81" s="1">
        <f t="shared" si="4"/>
        <v>14418</v>
      </c>
      <c r="M81" s="1" t="str">
        <f t="shared" si="5"/>
        <v>Feb</v>
      </c>
    </row>
    <row r="82" spans="1:13" x14ac:dyDescent="0.3">
      <c r="A82" s="1" t="s">
        <v>100</v>
      </c>
      <c r="B82" s="1" t="s">
        <v>11</v>
      </c>
      <c r="C82" s="1" t="s">
        <v>15</v>
      </c>
      <c r="D82" s="1">
        <v>2</v>
      </c>
      <c r="E82" s="1">
        <v>0</v>
      </c>
      <c r="F82" s="1">
        <v>6550</v>
      </c>
      <c r="G82" s="2">
        <v>45704</v>
      </c>
      <c r="H82" s="2">
        <v>45707</v>
      </c>
      <c r="I82" s="1" t="s">
        <v>23</v>
      </c>
      <c r="J82" s="1">
        <v>1</v>
      </c>
      <c r="K82" s="1">
        <f t="shared" si="3"/>
        <v>3</v>
      </c>
      <c r="L82" s="1">
        <f t="shared" si="4"/>
        <v>19650</v>
      </c>
      <c r="M82" s="1" t="str">
        <f t="shared" si="5"/>
        <v>Feb</v>
      </c>
    </row>
    <row r="83" spans="1:13" x14ac:dyDescent="0.3">
      <c r="A83" s="1" t="s">
        <v>101</v>
      </c>
      <c r="B83" s="1" t="s">
        <v>17</v>
      </c>
      <c r="C83" s="1" t="s">
        <v>30</v>
      </c>
      <c r="D83" s="1">
        <v>2</v>
      </c>
      <c r="E83" s="1">
        <v>2</v>
      </c>
      <c r="F83" s="1">
        <v>4558</v>
      </c>
      <c r="G83" s="2">
        <v>45927</v>
      </c>
      <c r="H83" s="2">
        <v>45931</v>
      </c>
      <c r="I83" s="1" t="s">
        <v>13</v>
      </c>
      <c r="J83" s="1">
        <v>1</v>
      </c>
      <c r="K83" s="1">
        <f t="shared" si="3"/>
        <v>4</v>
      </c>
      <c r="L83" s="1">
        <f t="shared" si="4"/>
        <v>18232</v>
      </c>
      <c r="M83" s="1" t="str">
        <f t="shared" si="5"/>
        <v>Sep</v>
      </c>
    </row>
    <row r="84" spans="1:13" x14ac:dyDescent="0.3">
      <c r="A84" s="1" t="s">
        <v>102</v>
      </c>
      <c r="B84" s="1" t="s">
        <v>17</v>
      </c>
      <c r="C84" s="1" t="s">
        <v>12</v>
      </c>
      <c r="D84" s="1">
        <v>4</v>
      </c>
      <c r="E84" s="1">
        <v>0</v>
      </c>
      <c r="F84" s="1">
        <v>10014</v>
      </c>
      <c r="G84" s="2">
        <v>45765</v>
      </c>
      <c r="H84" s="2">
        <v>45770</v>
      </c>
      <c r="I84" s="1" t="s">
        <v>19</v>
      </c>
      <c r="J84" s="1">
        <v>5</v>
      </c>
      <c r="K84" s="1">
        <f t="shared" si="3"/>
        <v>5</v>
      </c>
      <c r="L84" s="1">
        <f t="shared" si="4"/>
        <v>50070</v>
      </c>
      <c r="M84" s="1" t="str">
        <f t="shared" si="5"/>
        <v>Apr</v>
      </c>
    </row>
    <row r="85" spans="1:13" x14ac:dyDescent="0.3">
      <c r="A85" s="1" t="s">
        <v>103</v>
      </c>
      <c r="B85" s="1" t="s">
        <v>17</v>
      </c>
      <c r="C85" s="1" t="s">
        <v>12</v>
      </c>
      <c r="D85" s="1">
        <v>4</v>
      </c>
      <c r="E85" s="1">
        <v>1</v>
      </c>
      <c r="F85" s="1">
        <v>9388</v>
      </c>
      <c r="G85" s="2">
        <v>45789</v>
      </c>
      <c r="H85" s="2">
        <v>45795</v>
      </c>
      <c r="I85" s="1" t="s">
        <v>23</v>
      </c>
      <c r="J85" s="1">
        <v>5</v>
      </c>
      <c r="K85" s="1">
        <f t="shared" si="3"/>
        <v>6</v>
      </c>
      <c r="L85" s="1">
        <f t="shared" si="4"/>
        <v>56328</v>
      </c>
      <c r="M85" s="1" t="str">
        <f t="shared" si="5"/>
        <v>May</v>
      </c>
    </row>
    <row r="86" spans="1:13" x14ac:dyDescent="0.3">
      <c r="A86" s="1" t="s">
        <v>104</v>
      </c>
      <c r="B86" s="1" t="s">
        <v>17</v>
      </c>
      <c r="C86" s="1" t="s">
        <v>15</v>
      </c>
      <c r="D86" s="1">
        <v>4</v>
      </c>
      <c r="E86" s="1">
        <v>1</v>
      </c>
      <c r="F86" s="1">
        <v>7056</v>
      </c>
      <c r="G86" s="2">
        <v>45937</v>
      </c>
      <c r="H86" s="2">
        <v>45941</v>
      </c>
      <c r="I86" s="1" t="s">
        <v>21</v>
      </c>
      <c r="J86" s="1">
        <v>1</v>
      </c>
      <c r="K86" s="1">
        <f t="shared" si="3"/>
        <v>4</v>
      </c>
      <c r="L86" s="1">
        <f t="shared" si="4"/>
        <v>28224</v>
      </c>
      <c r="M86" s="1" t="str">
        <f t="shared" si="5"/>
        <v>Oct</v>
      </c>
    </row>
    <row r="87" spans="1:13" x14ac:dyDescent="0.3">
      <c r="A87" s="1" t="s">
        <v>105</v>
      </c>
      <c r="B87" s="1" t="s">
        <v>17</v>
      </c>
      <c r="C87" s="1" t="s">
        <v>18</v>
      </c>
      <c r="D87" s="1">
        <v>3</v>
      </c>
      <c r="E87" s="1">
        <v>3</v>
      </c>
      <c r="F87" s="1">
        <v>9017</v>
      </c>
      <c r="G87" s="2">
        <v>45801</v>
      </c>
      <c r="H87" s="2">
        <v>45804</v>
      </c>
      <c r="I87" s="1" t="s">
        <v>23</v>
      </c>
      <c r="J87" s="1">
        <v>5</v>
      </c>
      <c r="K87" s="1">
        <f t="shared" si="3"/>
        <v>3</v>
      </c>
      <c r="L87" s="1">
        <f t="shared" si="4"/>
        <v>27051</v>
      </c>
      <c r="M87" s="1" t="str">
        <f t="shared" si="5"/>
        <v>May</v>
      </c>
    </row>
    <row r="88" spans="1:13" x14ac:dyDescent="0.3">
      <c r="A88" s="1" t="s">
        <v>106</v>
      </c>
      <c r="B88" s="1" t="s">
        <v>17</v>
      </c>
      <c r="C88" s="1" t="s">
        <v>15</v>
      </c>
      <c r="D88" s="1">
        <v>1</v>
      </c>
      <c r="E88" s="1">
        <v>3</v>
      </c>
      <c r="F88" s="1">
        <v>6779</v>
      </c>
      <c r="G88" s="2">
        <v>45952</v>
      </c>
      <c r="H88" s="2">
        <v>45956</v>
      </c>
      <c r="I88" s="1" t="s">
        <v>13</v>
      </c>
      <c r="J88" s="1">
        <v>5</v>
      </c>
      <c r="K88" s="1">
        <f t="shared" si="3"/>
        <v>4</v>
      </c>
      <c r="L88" s="1">
        <f t="shared" si="4"/>
        <v>27116</v>
      </c>
      <c r="M88" s="1" t="str">
        <f t="shared" si="5"/>
        <v>Oct</v>
      </c>
    </row>
    <row r="89" spans="1:13" x14ac:dyDescent="0.3">
      <c r="A89" s="1" t="s">
        <v>107</v>
      </c>
      <c r="B89" s="1" t="s">
        <v>17</v>
      </c>
      <c r="C89" s="1" t="s">
        <v>15</v>
      </c>
      <c r="D89" s="1">
        <v>1</v>
      </c>
      <c r="E89" s="1">
        <v>2</v>
      </c>
      <c r="F89" s="1">
        <v>4701</v>
      </c>
      <c r="G89" s="2">
        <v>45995</v>
      </c>
      <c r="H89" s="2">
        <v>46001</v>
      </c>
      <c r="I89" s="1" t="s">
        <v>19</v>
      </c>
      <c r="J89" s="1">
        <v>1</v>
      </c>
      <c r="K89" s="1">
        <f t="shared" si="3"/>
        <v>6</v>
      </c>
      <c r="L89" s="1">
        <f t="shared" si="4"/>
        <v>28206</v>
      </c>
      <c r="M89" s="1" t="str">
        <f t="shared" si="5"/>
        <v>Dec</v>
      </c>
    </row>
    <row r="90" spans="1:13" x14ac:dyDescent="0.3">
      <c r="A90" s="1" t="s">
        <v>108</v>
      </c>
      <c r="B90" s="1" t="s">
        <v>17</v>
      </c>
      <c r="C90" s="1" t="s">
        <v>12</v>
      </c>
      <c r="D90" s="1">
        <v>3</v>
      </c>
      <c r="E90" s="1">
        <v>2</v>
      </c>
      <c r="F90" s="1">
        <v>9809</v>
      </c>
      <c r="G90" s="2">
        <v>45849</v>
      </c>
      <c r="H90" s="2">
        <v>45854</v>
      </c>
      <c r="I90" s="1" t="s">
        <v>13</v>
      </c>
      <c r="J90" s="1">
        <v>3</v>
      </c>
      <c r="K90" s="1">
        <f t="shared" si="3"/>
        <v>5</v>
      </c>
      <c r="L90" s="1">
        <f t="shared" si="4"/>
        <v>49045</v>
      </c>
      <c r="M90" s="1" t="str">
        <f t="shared" si="5"/>
        <v>Jul</v>
      </c>
    </row>
    <row r="91" spans="1:13" x14ac:dyDescent="0.3">
      <c r="A91" s="1" t="s">
        <v>109</v>
      </c>
      <c r="B91" s="1" t="s">
        <v>11</v>
      </c>
      <c r="C91" s="1" t="s">
        <v>12</v>
      </c>
      <c r="D91" s="1">
        <v>2</v>
      </c>
      <c r="E91" s="1">
        <v>1</v>
      </c>
      <c r="F91" s="1">
        <v>5845</v>
      </c>
      <c r="G91" s="2">
        <v>45922</v>
      </c>
      <c r="H91" s="2">
        <v>45925</v>
      </c>
      <c r="I91" s="1" t="s">
        <v>13</v>
      </c>
      <c r="J91" s="1">
        <v>2</v>
      </c>
      <c r="K91" s="1">
        <f t="shared" si="3"/>
        <v>3</v>
      </c>
      <c r="L91" s="1">
        <f t="shared" si="4"/>
        <v>17535</v>
      </c>
      <c r="M91" s="1" t="str">
        <f t="shared" si="5"/>
        <v>Sep</v>
      </c>
    </row>
    <row r="92" spans="1:13" x14ac:dyDescent="0.3">
      <c r="A92" s="1" t="s">
        <v>110</v>
      </c>
      <c r="B92" s="1" t="s">
        <v>11</v>
      </c>
      <c r="C92" s="1" t="s">
        <v>30</v>
      </c>
      <c r="D92" s="1">
        <v>4</v>
      </c>
      <c r="E92" s="1">
        <v>0</v>
      </c>
      <c r="F92" s="1">
        <v>8790</v>
      </c>
      <c r="G92" s="2">
        <v>45989</v>
      </c>
      <c r="H92" s="2">
        <v>45996</v>
      </c>
      <c r="I92" s="1" t="s">
        <v>23</v>
      </c>
      <c r="J92" s="1">
        <v>3</v>
      </c>
      <c r="K92" s="1">
        <f t="shared" si="3"/>
        <v>7</v>
      </c>
      <c r="L92" s="1">
        <f t="shared" si="4"/>
        <v>61530</v>
      </c>
      <c r="M92" s="1" t="str">
        <f t="shared" si="5"/>
        <v>Nov</v>
      </c>
    </row>
    <row r="93" spans="1:13" x14ac:dyDescent="0.3">
      <c r="A93" s="1" t="s">
        <v>111</v>
      </c>
      <c r="B93" s="1" t="s">
        <v>17</v>
      </c>
      <c r="C93" s="1" t="s">
        <v>18</v>
      </c>
      <c r="D93" s="1">
        <v>1</v>
      </c>
      <c r="E93" s="1">
        <v>1</v>
      </c>
      <c r="F93" s="1">
        <v>9620</v>
      </c>
      <c r="G93" s="2">
        <v>45737</v>
      </c>
      <c r="H93" s="2">
        <v>45744</v>
      </c>
      <c r="I93" s="1" t="s">
        <v>19</v>
      </c>
      <c r="J93" s="1">
        <v>5</v>
      </c>
      <c r="K93" s="1">
        <f t="shared" si="3"/>
        <v>7</v>
      </c>
      <c r="L93" s="1">
        <f t="shared" si="4"/>
        <v>67340</v>
      </c>
      <c r="M93" s="1" t="str">
        <f t="shared" si="5"/>
        <v>Mar</v>
      </c>
    </row>
    <row r="94" spans="1:13" x14ac:dyDescent="0.3">
      <c r="A94" s="1" t="s">
        <v>112</v>
      </c>
      <c r="B94" s="1" t="s">
        <v>17</v>
      </c>
      <c r="C94" s="1" t="s">
        <v>15</v>
      </c>
      <c r="D94" s="1">
        <v>1</v>
      </c>
      <c r="E94" s="1">
        <v>1</v>
      </c>
      <c r="F94" s="1">
        <v>3937</v>
      </c>
      <c r="G94" s="2">
        <v>45812</v>
      </c>
      <c r="H94" s="2">
        <v>45817</v>
      </c>
      <c r="I94" s="1" t="s">
        <v>19</v>
      </c>
      <c r="J94" s="1">
        <v>2</v>
      </c>
      <c r="K94" s="1">
        <f t="shared" si="3"/>
        <v>5</v>
      </c>
      <c r="L94" s="1">
        <f t="shared" si="4"/>
        <v>19685</v>
      </c>
      <c r="M94" s="1" t="str">
        <f t="shared" si="5"/>
        <v>Jun</v>
      </c>
    </row>
    <row r="95" spans="1:13" x14ac:dyDescent="0.3">
      <c r="A95" s="1" t="s">
        <v>113</v>
      </c>
      <c r="B95" s="1" t="s">
        <v>17</v>
      </c>
      <c r="C95" s="1" t="s">
        <v>12</v>
      </c>
      <c r="D95" s="1">
        <v>2</v>
      </c>
      <c r="E95" s="1">
        <v>3</v>
      </c>
      <c r="F95" s="1">
        <v>3745</v>
      </c>
      <c r="G95" s="2">
        <v>45682</v>
      </c>
      <c r="H95" s="2">
        <v>45685</v>
      </c>
      <c r="I95" s="1" t="s">
        <v>23</v>
      </c>
      <c r="J95" s="1">
        <v>1</v>
      </c>
      <c r="K95" s="1">
        <f t="shared" si="3"/>
        <v>3</v>
      </c>
      <c r="L95" s="1">
        <f t="shared" si="4"/>
        <v>11235</v>
      </c>
      <c r="M95" s="1" t="str">
        <f t="shared" si="5"/>
        <v>Jan</v>
      </c>
    </row>
    <row r="96" spans="1:13" x14ac:dyDescent="0.3">
      <c r="A96" s="1" t="s">
        <v>114</v>
      </c>
      <c r="B96" s="1" t="s">
        <v>17</v>
      </c>
      <c r="C96" s="1" t="s">
        <v>30</v>
      </c>
      <c r="D96" s="1">
        <v>3</v>
      </c>
      <c r="E96" s="1">
        <v>3</v>
      </c>
      <c r="F96" s="1">
        <v>11510</v>
      </c>
      <c r="G96" s="2">
        <v>45857</v>
      </c>
      <c r="H96" s="2">
        <v>45862</v>
      </c>
      <c r="I96" s="1" t="s">
        <v>21</v>
      </c>
      <c r="J96" s="1">
        <v>3</v>
      </c>
      <c r="K96" s="1">
        <f t="shared" si="3"/>
        <v>5</v>
      </c>
      <c r="L96" s="1">
        <f t="shared" si="4"/>
        <v>57550</v>
      </c>
      <c r="M96" s="1" t="str">
        <f t="shared" si="5"/>
        <v>Jul</v>
      </c>
    </row>
    <row r="97" spans="1:13" x14ac:dyDescent="0.3">
      <c r="A97" s="1" t="s">
        <v>115</v>
      </c>
      <c r="B97" s="1" t="s">
        <v>17</v>
      </c>
      <c r="C97" s="1" t="s">
        <v>18</v>
      </c>
      <c r="D97" s="1">
        <v>2</v>
      </c>
      <c r="E97" s="1">
        <v>1</v>
      </c>
      <c r="F97" s="1">
        <v>7860</v>
      </c>
      <c r="G97" s="2">
        <v>45867</v>
      </c>
      <c r="H97" s="2">
        <v>45871</v>
      </c>
      <c r="I97" s="1" t="s">
        <v>23</v>
      </c>
      <c r="J97" s="1">
        <v>4</v>
      </c>
      <c r="K97" s="1">
        <f t="shared" si="3"/>
        <v>4</v>
      </c>
      <c r="L97" s="1">
        <f t="shared" si="4"/>
        <v>31440</v>
      </c>
      <c r="M97" s="1" t="str">
        <f t="shared" si="5"/>
        <v>Jul</v>
      </c>
    </row>
    <row r="98" spans="1:13" x14ac:dyDescent="0.3">
      <c r="A98" s="1" t="s">
        <v>116</v>
      </c>
      <c r="B98" s="1" t="s">
        <v>17</v>
      </c>
      <c r="C98" s="1" t="s">
        <v>18</v>
      </c>
      <c r="D98" s="1">
        <v>2</v>
      </c>
      <c r="E98" s="1">
        <v>0</v>
      </c>
      <c r="F98" s="1">
        <v>5352</v>
      </c>
      <c r="G98" s="2">
        <v>45702</v>
      </c>
      <c r="H98" s="2">
        <v>45703</v>
      </c>
      <c r="I98" s="1" t="s">
        <v>13</v>
      </c>
      <c r="J98" s="1">
        <v>3</v>
      </c>
      <c r="K98" s="1">
        <f t="shared" si="3"/>
        <v>1</v>
      </c>
      <c r="L98" s="1">
        <f t="shared" si="4"/>
        <v>5352</v>
      </c>
      <c r="M98" s="1" t="str">
        <f t="shared" si="5"/>
        <v>Feb</v>
      </c>
    </row>
    <row r="99" spans="1:13" x14ac:dyDescent="0.3">
      <c r="A99" s="1" t="s">
        <v>117</v>
      </c>
      <c r="B99" s="1" t="s">
        <v>11</v>
      </c>
      <c r="C99" s="1" t="s">
        <v>12</v>
      </c>
      <c r="D99" s="1">
        <v>2</v>
      </c>
      <c r="E99" s="1">
        <v>3</v>
      </c>
      <c r="F99" s="1">
        <v>8350</v>
      </c>
      <c r="G99" s="2">
        <v>45689</v>
      </c>
      <c r="H99" s="2">
        <v>45691</v>
      </c>
      <c r="I99" s="1" t="s">
        <v>19</v>
      </c>
      <c r="J99" s="1">
        <v>5</v>
      </c>
      <c r="K99" s="1">
        <f t="shared" si="3"/>
        <v>2</v>
      </c>
      <c r="L99" s="1">
        <f t="shared" si="4"/>
        <v>16700</v>
      </c>
      <c r="M99" s="1" t="str">
        <f t="shared" si="5"/>
        <v>Feb</v>
      </c>
    </row>
    <row r="100" spans="1:13" x14ac:dyDescent="0.3">
      <c r="A100" s="1" t="s">
        <v>118</v>
      </c>
      <c r="B100" s="1" t="s">
        <v>11</v>
      </c>
      <c r="C100" s="1" t="s">
        <v>12</v>
      </c>
      <c r="D100" s="1">
        <v>3</v>
      </c>
      <c r="E100" s="1">
        <v>1</v>
      </c>
      <c r="F100" s="1">
        <v>5079</v>
      </c>
      <c r="G100" s="2">
        <v>45793</v>
      </c>
      <c r="H100" s="2">
        <v>45799</v>
      </c>
      <c r="I100" s="1" t="s">
        <v>19</v>
      </c>
      <c r="J100" s="1">
        <v>2</v>
      </c>
      <c r="K100" s="1">
        <f t="shared" si="3"/>
        <v>6</v>
      </c>
      <c r="L100" s="1">
        <f t="shared" si="4"/>
        <v>30474</v>
      </c>
      <c r="M100" s="1" t="str">
        <f t="shared" si="5"/>
        <v>May</v>
      </c>
    </row>
    <row r="101" spans="1:13" x14ac:dyDescent="0.3">
      <c r="A101" s="1" t="s">
        <v>119</v>
      </c>
      <c r="B101" s="1" t="s">
        <v>11</v>
      </c>
      <c r="C101" s="1" t="s">
        <v>30</v>
      </c>
      <c r="D101" s="1">
        <v>4</v>
      </c>
      <c r="E101" s="1">
        <v>0</v>
      </c>
      <c r="F101" s="1">
        <v>5279</v>
      </c>
      <c r="G101" s="2">
        <v>45687</v>
      </c>
      <c r="H101" s="2">
        <v>45689</v>
      </c>
      <c r="I101" s="1" t="s">
        <v>23</v>
      </c>
      <c r="J101" s="1">
        <v>4</v>
      </c>
      <c r="K101" s="1">
        <f t="shared" si="3"/>
        <v>2</v>
      </c>
      <c r="L101" s="1">
        <f t="shared" si="4"/>
        <v>10558</v>
      </c>
      <c r="M101" s="1" t="str">
        <f t="shared" si="5"/>
        <v>Jan</v>
      </c>
    </row>
    <row r="102" spans="1:13" x14ac:dyDescent="0.3">
      <c r="A102" s="1" t="s">
        <v>120</v>
      </c>
      <c r="B102" s="1" t="s">
        <v>17</v>
      </c>
      <c r="C102" s="1" t="s">
        <v>12</v>
      </c>
      <c r="D102" s="1">
        <v>4</v>
      </c>
      <c r="E102" s="1">
        <v>2</v>
      </c>
      <c r="F102" s="1">
        <v>7533</v>
      </c>
      <c r="G102" s="2">
        <v>45904</v>
      </c>
      <c r="H102" s="2">
        <v>45905</v>
      </c>
      <c r="I102" s="1" t="s">
        <v>19</v>
      </c>
      <c r="J102" s="1">
        <v>2</v>
      </c>
      <c r="K102" s="1">
        <f t="shared" si="3"/>
        <v>1</v>
      </c>
      <c r="L102" s="1">
        <f t="shared" si="4"/>
        <v>7533</v>
      </c>
      <c r="M102" s="1" t="str">
        <f t="shared" si="5"/>
        <v>Sep</v>
      </c>
    </row>
    <row r="103" spans="1:13" x14ac:dyDescent="0.3">
      <c r="A103" s="1" t="s">
        <v>121</v>
      </c>
      <c r="B103" s="1" t="s">
        <v>11</v>
      </c>
      <c r="C103" s="1" t="s">
        <v>30</v>
      </c>
      <c r="D103" s="1">
        <v>1</v>
      </c>
      <c r="E103" s="1">
        <v>3</v>
      </c>
      <c r="F103" s="1">
        <v>7823</v>
      </c>
      <c r="G103" s="2">
        <v>45766</v>
      </c>
      <c r="H103" s="2">
        <v>45772</v>
      </c>
      <c r="I103" s="1" t="s">
        <v>21</v>
      </c>
      <c r="J103" s="1">
        <v>1</v>
      </c>
      <c r="K103" s="1">
        <f t="shared" si="3"/>
        <v>6</v>
      </c>
      <c r="L103" s="1">
        <f t="shared" si="4"/>
        <v>46938</v>
      </c>
      <c r="M103" s="1" t="str">
        <f t="shared" si="5"/>
        <v>Apr</v>
      </c>
    </row>
    <row r="104" spans="1:13" x14ac:dyDescent="0.3">
      <c r="A104" s="1" t="s">
        <v>122</v>
      </c>
      <c r="B104" s="1" t="s">
        <v>11</v>
      </c>
      <c r="C104" s="1" t="s">
        <v>30</v>
      </c>
      <c r="D104" s="1">
        <v>3</v>
      </c>
      <c r="E104" s="1">
        <v>2</v>
      </c>
      <c r="F104" s="1">
        <v>6341</v>
      </c>
      <c r="G104" s="2">
        <v>45999</v>
      </c>
      <c r="H104" s="2">
        <v>46005</v>
      </c>
      <c r="I104" s="1" t="s">
        <v>21</v>
      </c>
      <c r="J104" s="1">
        <v>5</v>
      </c>
      <c r="K104" s="1">
        <f t="shared" si="3"/>
        <v>6</v>
      </c>
      <c r="L104" s="1">
        <f t="shared" si="4"/>
        <v>38046</v>
      </c>
      <c r="M104" s="1" t="str">
        <f t="shared" si="5"/>
        <v>Dec</v>
      </c>
    </row>
    <row r="105" spans="1:13" x14ac:dyDescent="0.3">
      <c r="A105" s="1" t="s">
        <v>123</v>
      </c>
      <c r="B105" s="1" t="s">
        <v>11</v>
      </c>
      <c r="C105" s="1" t="s">
        <v>15</v>
      </c>
      <c r="D105" s="1">
        <v>4</v>
      </c>
      <c r="E105" s="1">
        <v>2</v>
      </c>
      <c r="F105" s="1">
        <v>6933</v>
      </c>
      <c r="G105" s="2">
        <v>46003</v>
      </c>
      <c r="H105" s="2">
        <v>46004</v>
      </c>
      <c r="I105" s="1" t="s">
        <v>21</v>
      </c>
      <c r="J105" s="1">
        <v>5</v>
      </c>
      <c r="K105" s="1">
        <f t="shared" si="3"/>
        <v>1</v>
      </c>
      <c r="L105" s="1">
        <f t="shared" si="4"/>
        <v>6933</v>
      </c>
      <c r="M105" s="1" t="str">
        <f t="shared" si="5"/>
        <v>Dec</v>
      </c>
    </row>
    <row r="106" spans="1:13" x14ac:dyDescent="0.3">
      <c r="A106" s="1" t="s">
        <v>124</v>
      </c>
      <c r="B106" s="1" t="s">
        <v>17</v>
      </c>
      <c r="C106" s="1" t="s">
        <v>15</v>
      </c>
      <c r="D106" s="1">
        <v>1</v>
      </c>
      <c r="E106" s="1">
        <v>0</v>
      </c>
      <c r="F106" s="1">
        <v>6922</v>
      </c>
      <c r="G106" s="2">
        <v>45681</v>
      </c>
      <c r="H106" s="2">
        <v>45687</v>
      </c>
      <c r="I106" s="1" t="s">
        <v>19</v>
      </c>
      <c r="J106" s="1">
        <v>2</v>
      </c>
      <c r="K106" s="1">
        <f t="shared" si="3"/>
        <v>6</v>
      </c>
      <c r="L106" s="1">
        <f t="shared" si="4"/>
        <v>41532</v>
      </c>
      <c r="M106" s="1" t="str">
        <f t="shared" si="5"/>
        <v>Jan</v>
      </c>
    </row>
    <row r="107" spans="1:13" x14ac:dyDescent="0.3">
      <c r="A107" s="1" t="s">
        <v>125</v>
      </c>
      <c r="B107" s="1" t="s">
        <v>11</v>
      </c>
      <c r="C107" s="1" t="s">
        <v>15</v>
      </c>
      <c r="D107" s="1">
        <v>3</v>
      </c>
      <c r="E107" s="1">
        <v>0</v>
      </c>
      <c r="F107" s="1">
        <v>7520</v>
      </c>
      <c r="G107" s="2">
        <v>46007</v>
      </c>
      <c r="H107" s="2">
        <v>46014</v>
      </c>
      <c r="I107" s="1" t="s">
        <v>13</v>
      </c>
      <c r="J107" s="1">
        <v>5</v>
      </c>
      <c r="K107" s="1">
        <f t="shared" si="3"/>
        <v>7</v>
      </c>
      <c r="L107" s="1">
        <f t="shared" si="4"/>
        <v>52640</v>
      </c>
      <c r="M107" s="1" t="str">
        <f t="shared" si="5"/>
        <v>Dec</v>
      </c>
    </row>
    <row r="108" spans="1:13" x14ac:dyDescent="0.3">
      <c r="A108" s="1" t="s">
        <v>126</v>
      </c>
      <c r="B108" s="1" t="s">
        <v>17</v>
      </c>
      <c r="C108" s="1" t="s">
        <v>18</v>
      </c>
      <c r="D108" s="1">
        <v>1</v>
      </c>
      <c r="E108" s="1">
        <v>0</v>
      </c>
      <c r="F108" s="1">
        <v>11263</v>
      </c>
      <c r="G108" s="2">
        <v>45673</v>
      </c>
      <c r="H108" s="2">
        <v>45674</v>
      </c>
      <c r="I108" s="1" t="s">
        <v>21</v>
      </c>
      <c r="J108" s="1">
        <v>4</v>
      </c>
      <c r="K108" s="1">
        <f t="shared" si="3"/>
        <v>1</v>
      </c>
      <c r="L108" s="1">
        <f t="shared" si="4"/>
        <v>11263</v>
      </c>
      <c r="M108" s="1" t="str">
        <f t="shared" si="5"/>
        <v>Jan</v>
      </c>
    </row>
    <row r="109" spans="1:13" x14ac:dyDescent="0.3">
      <c r="A109" s="1" t="s">
        <v>127</v>
      </c>
      <c r="B109" s="1" t="s">
        <v>11</v>
      </c>
      <c r="C109" s="1" t="s">
        <v>18</v>
      </c>
      <c r="D109" s="1">
        <v>3</v>
      </c>
      <c r="E109" s="1">
        <v>3</v>
      </c>
      <c r="F109" s="1">
        <v>8333</v>
      </c>
      <c r="G109" s="2">
        <v>45688</v>
      </c>
      <c r="H109" s="2">
        <v>45690</v>
      </c>
      <c r="I109" s="1" t="s">
        <v>13</v>
      </c>
      <c r="J109" s="1">
        <v>1</v>
      </c>
      <c r="K109" s="1">
        <f t="shared" si="3"/>
        <v>2</v>
      </c>
      <c r="L109" s="1">
        <f t="shared" si="4"/>
        <v>16666</v>
      </c>
      <c r="M109" s="1" t="str">
        <f t="shared" si="5"/>
        <v>Jan</v>
      </c>
    </row>
    <row r="110" spans="1:13" x14ac:dyDescent="0.3">
      <c r="A110" s="1" t="s">
        <v>128</v>
      </c>
      <c r="B110" s="1" t="s">
        <v>11</v>
      </c>
      <c r="C110" s="1" t="s">
        <v>12</v>
      </c>
      <c r="D110" s="1">
        <v>4</v>
      </c>
      <c r="E110" s="1">
        <v>2</v>
      </c>
      <c r="F110" s="1">
        <v>11458</v>
      </c>
      <c r="G110" s="2">
        <v>46007</v>
      </c>
      <c r="H110" s="2">
        <v>46008</v>
      </c>
      <c r="I110" s="1" t="s">
        <v>23</v>
      </c>
      <c r="J110" s="1">
        <v>1</v>
      </c>
      <c r="K110" s="1">
        <f t="shared" si="3"/>
        <v>1</v>
      </c>
      <c r="L110" s="1">
        <f t="shared" si="4"/>
        <v>11458</v>
      </c>
      <c r="M110" s="1" t="str">
        <f t="shared" si="5"/>
        <v>Dec</v>
      </c>
    </row>
    <row r="111" spans="1:13" x14ac:dyDescent="0.3">
      <c r="A111" s="1" t="s">
        <v>129</v>
      </c>
      <c r="B111" s="1" t="s">
        <v>11</v>
      </c>
      <c r="C111" s="1" t="s">
        <v>18</v>
      </c>
      <c r="D111" s="1">
        <v>3</v>
      </c>
      <c r="E111" s="1">
        <v>0</v>
      </c>
      <c r="F111" s="1">
        <v>7765</v>
      </c>
      <c r="G111" s="2">
        <v>45672</v>
      </c>
      <c r="H111" s="2">
        <v>45679</v>
      </c>
      <c r="I111" s="1" t="s">
        <v>23</v>
      </c>
      <c r="J111" s="1">
        <v>2</v>
      </c>
      <c r="K111" s="1">
        <f t="shared" si="3"/>
        <v>7</v>
      </c>
      <c r="L111" s="1">
        <f t="shared" si="4"/>
        <v>54355</v>
      </c>
      <c r="M111" s="1" t="str">
        <f t="shared" si="5"/>
        <v>Jan</v>
      </c>
    </row>
    <row r="112" spans="1:13" x14ac:dyDescent="0.3">
      <c r="A112" s="1" t="s">
        <v>130</v>
      </c>
      <c r="B112" s="1" t="s">
        <v>17</v>
      </c>
      <c r="C112" s="1" t="s">
        <v>15</v>
      </c>
      <c r="D112" s="1">
        <v>4</v>
      </c>
      <c r="E112" s="1">
        <v>1</v>
      </c>
      <c r="F112" s="1">
        <v>9549</v>
      </c>
      <c r="G112" s="2">
        <v>45873</v>
      </c>
      <c r="H112" s="2">
        <v>45876</v>
      </c>
      <c r="I112" s="1" t="s">
        <v>19</v>
      </c>
      <c r="J112" s="1">
        <v>1</v>
      </c>
      <c r="K112" s="1">
        <f t="shared" si="3"/>
        <v>3</v>
      </c>
      <c r="L112" s="1">
        <f t="shared" si="4"/>
        <v>28647</v>
      </c>
      <c r="M112" s="1" t="str">
        <f t="shared" si="5"/>
        <v>Aug</v>
      </c>
    </row>
    <row r="113" spans="1:13" x14ac:dyDescent="0.3">
      <c r="A113" s="1" t="s">
        <v>131</v>
      </c>
      <c r="B113" s="1" t="s">
        <v>17</v>
      </c>
      <c r="C113" s="1" t="s">
        <v>30</v>
      </c>
      <c r="D113" s="1">
        <v>2</v>
      </c>
      <c r="E113" s="1">
        <v>0</v>
      </c>
      <c r="F113" s="1">
        <v>11021</v>
      </c>
      <c r="G113" s="2">
        <v>45669</v>
      </c>
      <c r="H113" s="2">
        <v>45675</v>
      </c>
      <c r="I113" s="1" t="s">
        <v>23</v>
      </c>
      <c r="J113" s="1">
        <v>1</v>
      </c>
      <c r="K113" s="1">
        <f t="shared" si="3"/>
        <v>6</v>
      </c>
      <c r="L113" s="1">
        <f t="shared" si="4"/>
        <v>66126</v>
      </c>
      <c r="M113" s="1" t="str">
        <f t="shared" si="5"/>
        <v>Jan</v>
      </c>
    </row>
    <row r="114" spans="1:13" x14ac:dyDescent="0.3">
      <c r="A114" s="1" t="s">
        <v>132</v>
      </c>
      <c r="B114" s="1" t="s">
        <v>11</v>
      </c>
      <c r="C114" s="1" t="s">
        <v>12</v>
      </c>
      <c r="D114" s="1">
        <v>3</v>
      </c>
      <c r="E114" s="1">
        <v>2</v>
      </c>
      <c r="F114" s="1">
        <v>4773</v>
      </c>
      <c r="G114" s="2">
        <v>46017</v>
      </c>
      <c r="H114" s="2">
        <v>46024</v>
      </c>
      <c r="I114" s="1" t="s">
        <v>19</v>
      </c>
      <c r="J114" s="1">
        <v>4</v>
      </c>
      <c r="K114" s="1">
        <f t="shared" si="3"/>
        <v>7</v>
      </c>
      <c r="L114" s="1">
        <f t="shared" si="4"/>
        <v>33411</v>
      </c>
      <c r="M114" s="1" t="str">
        <f t="shared" si="5"/>
        <v>Dec</v>
      </c>
    </row>
    <row r="115" spans="1:13" x14ac:dyDescent="0.3">
      <c r="A115" s="1" t="s">
        <v>133</v>
      </c>
      <c r="B115" s="1" t="s">
        <v>17</v>
      </c>
      <c r="C115" s="1" t="s">
        <v>15</v>
      </c>
      <c r="D115" s="1">
        <v>1</v>
      </c>
      <c r="E115" s="1">
        <v>1</v>
      </c>
      <c r="F115" s="1">
        <v>2993</v>
      </c>
      <c r="G115" s="2">
        <v>45659</v>
      </c>
      <c r="H115" s="2">
        <v>45665</v>
      </c>
      <c r="I115" s="1" t="s">
        <v>19</v>
      </c>
      <c r="J115" s="1">
        <v>1</v>
      </c>
      <c r="K115" s="1">
        <f t="shared" si="3"/>
        <v>6</v>
      </c>
      <c r="L115" s="1">
        <f t="shared" si="4"/>
        <v>17958</v>
      </c>
      <c r="M115" s="1" t="str">
        <f t="shared" si="5"/>
        <v>Jan</v>
      </c>
    </row>
    <row r="116" spans="1:13" x14ac:dyDescent="0.3">
      <c r="A116" s="1" t="s">
        <v>134</v>
      </c>
      <c r="B116" s="1" t="s">
        <v>11</v>
      </c>
      <c r="C116" s="1" t="s">
        <v>18</v>
      </c>
      <c r="D116" s="1">
        <v>3</v>
      </c>
      <c r="E116" s="1">
        <v>2</v>
      </c>
      <c r="F116" s="1">
        <v>4856</v>
      </c>
      <c r="G116" s="2">
        <v>45749</v>
      </c>
      <c r="H116" s="2">
        <v>45752</v>
      </c>
      <c r="I116" s="1" t="s">
        <v>13</v>
      </c>
      <c r="J116" s="1">
        <v>4</v>
      </c>
      <c r="K116" s="1">
        <f t="shared" si="3"/>
        <v>3</v>
      </c>
      <c r="L116" s="1">
        <f t="shared" si="4"/>
        <v>14568</v>
      </c>
      <c r="M116" s="1" t="str">
        <f t="shared" si="5"/>
        <v>Apr</v>
      </c>
    </row>
    <row r="117" spans="1:13" x14ac:dyDescent="0.3">
      <c r="A117" s="1" t="s">
        <v>135</v>
      </c>
      <c r="B117" s="1" t="s">
        <v>17</v>
      </c>
      <c r="C117" s="1" t="s">
        <v>15</v>
      </c>
      <c r="D117" s="1">
        <v>2</v>
      </c>
      <c r="E117" s="1">
        <v>0</v>
      </c>
      <c r="F117" s="1">
        <v>11793</v>
      </c>
      <c r="G117" s="2">
        <v>45968</v>
      </c>
      <c r="H117" s="2">
        <v>45971</v>
      </c>
      <c r="I117" s="1" t="s">
        <v>23</v>
      </c>
      <c r="J117" s="1">
        <v>2</v>
      </c>
      <c r="K117" s="1">
        <f t="shared" si="3"/>
        <v>3</v>
      </c>
      <c r="L117" s="1">
        <f t="shared" si="4"/>
        <v>35379</v>
      </c>
      <c r="M117" s="1" t="str">
        <f t="shared" si="5"/>
        <v>Nov</v>
      </c>
    </row>
    <row r="118" spans="1:13" x14ac:dyDescent="0.3">
      <c r="A118" s="1" t="s">
        <v>136</v>
      </c>
      <c r="B118" s="1" t="s">
        <v>17</v>
      </c>
      <c r="C118" s="1" t="s">
        <v>12</v>
      </c>
      <c r="D118" s="1">
        <v>4</v>
      </c>
      <c r="E118" s="1">
        <v>1</v>
      </c>
      <c r="F118" s="1">
        <v>10910</v>
      </c>
      <c r="G118" s="2">
        <v>46017</v>
      </c>
      <c r="H118" s="2">
        <v>46023</v>
      </c>
      <c r="I118" s="1" t="s">
        <v>13</v>
      </c>
      <c r="J118" s="1">
        <v>3</v>
      </c>
      <c r="K118" s="1">
        <f t="shared" si="3"/>
        <v>6</v>
      </c>
      <c r="L118" s="1">
        <f t="shared" si="4"/>
        <v>65460</v>
      </c>
      <c r="M118" s="1" t="str">
        <f t="shared" si="5"/>
        <v>Dec</v>
      </c>
    </row>
    <row r="119" spans="1:13" x14ac:dyDescent="0.3">
      <c r="A119" s="1" t="s">
        <v>137</v>
      </c>
      <c r="B119" s="1" t="s">
        <v>17</v>
      </c>
      <c r="C119" s="1" t="s">
        <v>15</v>
      </c>
      <c r="D119" s="1">
        <v>3</v>
      </c>
      <c r="E119" s="1">
        <v>1</v>
      </c>
      <c r="F119" s="1">
        <v>10235</v>
      </c>
      <c r="G119" s="2">
        <v>45819</v>
      </c>
      <c r="H119" s="2">
        <v>45826</v>
      </c>
      <c r="I119" s="1" t="s">
        <v>21</v>
      </c>
      <c r="J119" s="1">
        <v>5</v>
      </c>
      <c r="K119" s="1">
        <f t="shared" si="3"/>
        <v>7</v>
      </c>
      <c r="L119" s="1">
        <f t="shared" si="4"/>
        <v>71645</v>
      </c>
      <c r="M119" s="1" t="str">
        <f t="shared" si="5"/>
        <v>Jun</v>
      </c>
    </row>
    <row r="120" spans="1:13" x14ac:dyDescent="0.3">
      <c r="A120" s="1" t="s">
        <v>138</v>
      </c>
      <c r="B120" s="1" t="s">
        <v>17</v>
      </c>
      <c r="C120" s="1" t="s">
        <v>18</v>
      </c>
      <c r="D120" s="1">
        <v>2</v>
      </c>
      <c r="E120" s="1">
        <v>3</v>
      </c>
      <c r="F120" s="1">
        <v>5318</v>
      </c>
      <c r="G120" s="2">
        <v>45847</v>
      </c>
      <c r="H120" s="2">
        <v>45853</v>
      </c>
      <c r="I120" s="1" t="s">
        <v>21</v>
      </c>
      <c r="J120" s="1">
        <v>2</v>
      </c>
      <c r="K120" s="1">
        <f t="shared" si="3"/>
        <v>6</v>
      </c>
      <c r="L120" s="1">
        <f t="shared" si="4"/>
        <v>31908</v>
      </c>
      <c r="M120" s="1" t="str">
        <f t="shared" si="5"/>
        <v>Jul</v>
      </c>
    </row>
    <row r="121" spans="1:13" x14ac:dyDescent="0.3">
      <c r="A121" s="1" t="s">
        <v>139</v>
      </c>
      <c r="B121" s="1" t="s">
        <v>17</v>
      </c>
      <c r="C121" s="1" t="s">
        <v>12</v>
      </c>
      <c r="D121" s="1">
        <v>1</v>
      </c>
      <c r="E121" s="1">
        <v>2</v>
      </c>
      <c r="F121" s="1">
        <v>5506</v>
      </c>
      <c r="G121" s="2">
        <v>45986</v>
      </c>
      <c r="H121" s="2">
        <v>45992</v>
      </c>
      <c r="I121" s="1" t="s">
        <v>21</v>
      </c>
      <c r="J121" s="1">
        <v>4</v>
      </c>
      <c r="K121" s="1">
        <f t="shared" si="3"/>
        <v>6</v>
      </c>
      <c r="L121" s="1">
        <f t="shared" si="4"/>
        <v>33036</v>
      </c>
      <c r="M121" s="1" t="str">
        <f t="shared" si="5"/>
        <v>Nov</v>
      </c>
    </row>
    <row r="122" spans="1:13" x14ac:dyDescent="0.3">
      <c r="A122" s="1" t="s">
        <v>140</v>
      </c>
      <c r="B122" s="1" t="s">
        <v>17</v>
      </c>
      <c r="C122" s="1" t="s">
        <v>15</v>
      </c>
      <c r="D122" s="1">
        <v>2</v>
      </c>
      <c r="E122" s="1">
        <v>0</v>
      </c>
      <c r="F122" s="1">
        <v>4461</v>
      </c>
      <c r="G122" s="2">
        <v>45842</v>
      </c>
      <c r="H122" s="2">
        <v>45844</v>
      </c>
      <c r="I122" s="1" t="s">
        <v>19</v>
      </c>
      <c r="J122" s="1">
        <v>5</v>
      </c>
      <c r="K122" s="1">
        <f t="shared" si="3"/>
        <v>2</v>
      </c>
      <c r="L122" s="1">
        <f t="shared" si="4"/>
        <v>8922</v>
      </c>
      <c r="M122" s="1" t="str">
        <f t="shared" si="5"/>
        <v>Jul</v>
      </c>
    </row>
    <row r="123" spans="1:13" x14ac:dyDescent="0.3">
      <c r="A123" s="1" t="s">
        <v>141</v>
      </c>
      <c r="B123" s="1" t="s">
        <v>17</v>
      </c>
      <c r="C123" s="1" t="s">
        <v>30</v>
      </c>
      <c r="D123" s="1">
        <v>3</v>
      </c>
      <c r="E123" s="1">
        <v>2</v>
      </c>
      <c r="F123" s="1">
        <v>11648</v>
      </c>
      <c r="G123" s="2">
        <v>45930</v>
      </c>
      <c r="H123" s="2">
        <v>45934</v>
      </c>
      <c r="I123" s="1" t="s">
        <v>19</v>
      </c>
      <c r="J123" s="1">
        <v>3</v>
      </c>
      <c r="K123" s="1">
        <f t="shared" si="3"/>
        <v>4</v>
      </c>
      <c r="L123" s="1">
        <f t="shared" si="4"/>
        <v>46592</v>
      </c>
      <c r="M123" s="1" t="str">
        <f t="shared" si="5"/>
        <v>Sep</v>
      </c>
    </row>
    <row r="124" spans="1:13" x14ac:dyDescent="0.3">
      <c r="A124" s="1" t="s">
        <v>142</v>
      </c>
      <c r="B124" s="1" t="s">
        <v>11</v>
      </c>
      <c r="C124" s="1" t="s">
        <v>30</v>
      </c>
      <c r="D124" s="1">
        <v>3</v>
      </c>
      <c r="E124" s="1">
        <v>2</v>
      </c>
      <c r="F124" s="1">
        <v>10016</v>
      </c>
      <c r="G124" s="2">
        <v>45919</v>
      </c>
      <c r="H124" s="2">
        <v>45925</v>
      </c>
      <c r="I124" s="1" t="s">
        <v>13</v>
      </c>
      <c r="J124" s="1">
        <v>2</v>
      </c>
      <c r="K124" s="1">
        <f t="shared" si="3"/>
        <v>6</v>
      </c>
      <c r="L124" s="1">
        <f t="shared" si="4"/>
        <v>60096</v>
      </c>
      <c r="M124" s="1" t="str">
        <f t="shared" si="5"/>
        <v>Sep</v>
      </c>
    </row>
    <row r="125" spans="1:13" x14ac:dyDescent="0.3">
      <c r="A125" s="1" t="s">
        <v>143</v>
      </c>
      <c r="B125" s="1" t="s">
        <v>11</v>
      </c>
      <c r="C125" s="1" t="s">
        <v>30</v>
      </c>
      <c r="D125" s="1">
        <v>1</v>
      </c>
      <c r="E125" s="1">
        <v>2</v>
      </c>
      <c r="F125" s="1">
        <v>11952</v>
      </c>
      <c r="G125" s="2">
        <v>45779</v>
      </c>
      <c r="H125" s="2">
        <v>45784</v>
      </c>
      <c r="I125" s="1" t="s">
        <v>19</v>
      </c>
      <c r="J125" s="1">
        <v>4</v>
      </c>
      <c r="K125" s="1">
        <f t="shared" si="3"/>
        <v>5</v>
      </c>
      <c r="L125" s="1">
        <f t="shared" si="4"/>
        <v>59760</v>
      </c>
      <c r="M125" s="1" t="str">
        <f t="shared" si="5"/>
        <v>May</v>
      </c>
    </row>
    <row r="126" spans="1:13" x14ac:dyDescent="0.3">
      <c r="A126" s="1" t="s">
        <v>144</v>
      </c>
      <c r="B126" s="1" t="s">
        <v>11</v>
      </c>
      <c r="C126" s="1" t="s">
        <v>12</v>
      </c>
      <c r="D126" s="1">
        <v>2</v>
      </c>
      <c r="E126" s="1">
        <v>0</v>
      </c>
      <c r="F126" s="1">
        <v>10867</v>
      </c>
      <c r="G126" s="2">
        <v>45904</v>
      </c>
      <c r="H126" s="2">
        <v>45906</v>
      </c>
      <c r="I126" s="1" t="s">
        <v>23</v>
      </c>
      <c r="J126" s="1">
        <v>3</v>
      </c>
      <c r="K126" s="1">
        <f t="shared" si="3"/>
        <v>2</v>
      </c>
      <c r="L126" s="1">
        <f t="shared" si="4"/>
        <v>21734</v>
      </c>
      <c r="M126" s="1" t="str">
        <f t="shared" si="5"/>
        <v>Sep</v>
      </c>
    </row>
    <row r="127" spans="1:13" x14ac:dyDescent="0.3">
      <c r="A127" s="1" t="s">
        <v>145</v>
      </c>
      <c r="B127" s="1" t="s">
        <v>17</v>
      </c>
      <c r="C127" s="1" t="s">
        <v>15</v>
      </c>
      <c r="D127" s="1">
        <v>1</v>
      </c>
      <c r="E127" s="1">
        <v>3</v>
      </c>
      <c r="F127" s="1">
        <v>11509</v>
      </c>
      <c r="G127" s="2">
        <v>45969</v>
      </c>
      <c r="H127" s="2">
        <v>45972</v>
      </c>
      <c r="I127" s="1" t="s">
        <v>21</v>
      </c>
      <c r="J127" s="1">
        <v>4</v>
      </c>
      <c r="K127" s="1">
        <f t="shared" si="3"/>
        <v>3</v>
      </c>
      <c r="L127" s="1">
        <f t="shared" si="4"/>
        <v>34527</v>
      </c>
      <c r="M127" s="1" t="str">
        <f t="shared" si="5"/>
        <v>Nov</v>
      </c>
    </row>
    <row r="128" spans="1:13" x14ac:dyDescent="0.3">
      <c r="A128" s="1" t="s">
        <v>146</v>
      </c>
      <c r="B128" s="1" t="s">
        <v>17</v>
      </c>
      <c r="C128" s="1" t="s">
        <v>12</v>
      </c>
      <c r="D128" s="1">
        <v>3</v>
      </c>
      <c r="E128" s="1">
        <v>1</v>
      </c>
      <c r="F128" s="1">
        <v>7881</v>
      </c>
      <c r="G128" s="2">
        <v>45932</v>
      </c>
      <c r="H128" s="2">
        <v>45936</v>
      </c>
      <c r="I128" s="1" t="s">
        <v>13</v>
      </c>
      <c r="J128" s="1">
        <v>3</v>
      </c>
      <c r="K128" s="1">
        <f t="shared" si="3"/>
        <v>4</v>
      </c>
      <c r="L128" s="1">
        <f t="shared" si="4"/>
        <v>31524</v>
      </c>
      <c r="M128" s="1" t="str">
        <f t="shared" si="5"/>
        <v>Oct</v>
      </c>
    </row>
    <row r="129" spans="1:13" x14ac:dyDescent="0.3">
      <c r="A129" s="1" t="s">
        <v>147</v>
      </c>
      <c r="B129" s="1" t="s">
        <v>11</v>
      </c>
      <c r="C129" s="1" t="s">
        <v>18</v>
      </c>
      <c r="D129" s="1">
        <v>4</v>
      </c>
      <c r="E129" s="1">
        <v>0</v>
      </c>
      <c r="F129" s="1">
        <v>2744</v>
      </c>
      <c r="G129" s="2">
        <v>45851</v>
      </c>
      <c r="H129" s="2">
        <v>45856</v>
      </c>
      <c r="I129" s="1" t="s">
        <v>19</v>
      </c>
      <c r="J129" s="1">
        <v>3</v>
      </c>
      <c r="K129" s="1">
        <f t="shared" si="3"/>
        <v>5</v>
      </c>
      <c r="L129" s="1">
        <f t="shared" si="4"/>
        <v>13720</v>
      </c>
      <c r="M129" s="1" t="str">
        <f t="shared" si="5"/>
        <v>Jul</v>
      </c>
    </row>
    <row r="130" spans="1:13" x14ac:dyDescent="0.3">
      <c r="A130" s="1" t="s">
        <v>148</v>
      </c>
      <c r="B130" s="1" t="s">
        <v>11</v>
      </c>
      <c r="C130" s="1" t="s">
        <v>15</v>
      </c>
      <c r="D130" s="1">
        <v>1</v>
      </c>
      <c r="E130" s="1">
        <v>0</v>
      </c>
      <c r="F130" s="1">
        <v>11993</v>
      </c>
      <c r="G130" s="2">
        <v>45833</v>
      </c>
      <c r="H130" s="2">
        <v>45840</v>
      </c>
      <c r="I130" s="1" t="s">
        <v>13</v>
      </c>
      <c r="J130" s="1">
        <v>2</v>
      </c>
      <c r="K130" s="1">
        <f t="shared" si="3"/>
        <v>7</v>
      </c>
      <c r="L130" s="1">
        <f t="shared" si="4"/>
        <v>83951</v>
      </c>
      <c r="M130" s="1" t="str">
        <f t="shared" si="5"/>
        <v>Jun</v>
      </c>
    </row>
    <row r="131" spans="1:13" x14ac:dyDescent="0.3">
      <c r="A131" s="1" t="s">
        <v>149</v>
      </c>
      <c r="B131" s="1" t="s">
        <v>11</v>
      </c>
      <c r="C131" s="1" t="s">
        <v>15</v>
      </c>
      <c r="D131" s="1">
        <v>4</v>
      </c>
      <c r="E131" s="1">
        <v>0</v>
      </c>
      <c r="F131" s="1">
        <v>5323</v>
      </c>
      <c r="G131" s="2">
        <v>45773</v>
      </c>
      <c r="H131" s="2">
        <v>45777</v>
      </c>
      <c r="I131" s="1" t="s">
        <v>19</v>
      </c>
      <c r="J131" s="1">
        <v>2</v>
      </c>
      <c r="K131" s="1">
        <f t="shared" ref="K131:K194" si="6">H131-G131</f>
        <v>4</v>
      </c>
      <c r="L131" s="1">
        <f t="shared" ref="L131:L194" si="7">K131*F131</f>
        <v>21292</v>
      </c>
      <c r="M131" s="1" t="str">
        <f t="shared" ref="M131:M194" si="8">TEXT(G131,"mmm")</f>
        <v>Apr</v>
      </c>
    </row>
    <row r="132" spans="1:13" x14ac:dyDescent="0.3">
      <c r="A132" s="1" t="s">
        <v>150</v>
      </c>
      <c r="B132" s="1" t="s">
        <v>11</v>
      </c>
      <c r="C132" s="1" t="s">
        <v>15</v>
      </c>
      <c r="D132" s="1">
        <v>4</v>
      </c>
      <c r="E132" s="1">
        <v>0</v>
      </c>
      <c r="F132" s="1">
        <v>4571</v>
      </c>
      <c r="G132" s="2">
        <v>45670</v>
      </c>
      <c r="H132" s="2">
        <v>45677</v>
      </c>
      <c r="I132" s="1" t="s">
        <v>13</v>
      </c>
      <c r="J132" s="1">
        <v>3</v>
      </c>
      <c r="K132" s="1">
        <f t="shared" si="6"/>
        <v>7</v>
      </c>
      <c r="L132" s="1">
        <f t="shared" si="7"/>
        <v>31997</v>
      </c>
      <c r="M132" s="1" t="str">
        <f t="shared" si="8"/>
        <v>Jan</v>
      </c>
    </row>
    <row r="133" spans="1:13" x14ac:dyDescent="0.3">
      <c r="A133" s="1" t="s">
        <v>151</v>
      </c>
      <c r="B133" s="1" t="s">
        <v>17</v>
      </c>
      <c r="C133" s="1" t="s">
        <v>30</v>
      </c>
      <c r="D133" s="1">
        <v>2</v>
      </c>
      <c r="E133" s="1">
        <v>0</v>
      </c>
      <c r="F133" s="1">
        <v>8049</v>
      </c>
      <c r="G133" s="2">
        <v>45772</v>
      </c>
      <c r="H133" s="2">
        <v>45777</v>
      </c>
      <c r="I133" s="1" t="s">
        <v>21</v>
      </c>
      <c r="J133" s="1">
        <v>4</v>
      </c>
      <c r="K133" s="1">
        <f t="shared" si="6"/>
        <v>5</v>
      </c>
      <c r="L133" s="1">
        <f t="shared" si="7"/>
        <v>40245</v>
      </c>
      <c r="M133" s="1" t="str">
        <f t="shared" si="8"/>
        <v>Apr</v>
      </c>
    </row>
    <row r="134" spans="1:13" x14ac:dyDescent="0.3">
      <c r="A134" s="1" t="s">
        <v>152</v>
      </c>
      <c r="B134" s="1" t="s">
        <v>17</v>
      </c>
      <c r="C134" s="1" t="s">
        <v>15</v>
      </c>
      <c r="D134" s="1">
        <v>3</v>
      </c>
      <c r="E134" s="1">
        <v>3</v>
      </c>
      <c r="F134" s="1">
        <v>11287</v>
      </c>
      <c r="G134" s="2">
        <v>45980</v>
      </c>
      <c r="H134" s="2">
        <v>45981</v>
      </c>
      <c r="I134" s="1" t="s">
        <v>21</v>
      </c>
      <c r="J134" s="1">
        <v>4</v>
      </c>
      <c r="K134" s="1">
        <f t="shared" si="6"/>
        <v>1</v>
      </c>
      <c r="L134" s="1">
        <f t="shared" si="7"/>
        <v>11287</v>
      </c>
      <c r="M134" s="1" t="str">
        <f t="shared" si="8"/>
        <v>Nov</v>
      </c>
    </row>
    <row r="135" spans="1:13" x14ac:dyDescent="0.3">
      <c r="A135" s="1" t="s">
        <v>153</v>
      </c>
      <c r="B135" s="1" t="s">
        <v>11</v>
      </c>
      <c r="C135" s="1" t="s">
        <v>15</v>
      </c>
      <c r="D135" s="1">
        <v>1</v>
      </c>
      <c r="E135" s="1">
        <v>1</v>
      </c>
      <c r="F135" s="1">
        <v>4899</v>
      </c>
      <c r="G135" s="2">
        <v>45779</v>
      </c>
      <c r="H135" s="2">
        <v>45785</v>
      </c>
      <c r="I135" s="1" t="s">
        <v>23</v>
      </c>
      <c r="J135" s="1">
        <v>1</v>
      </c>
      <c r="K135" s="1">
        <f t="shared" si="6"/>
        <v>6</v>
      </c>
      <c r="L135" s="1">
        <f t="shared" si="7"/>
        <v>29394</v>
      </c>
      <c r="M135" s="1" t="str">
        <f t="shared" si="8"/>
        <v>May</v>
      </c>
    </row>
    <row r="136" spans="1:13" x14ac:dyDescent="0.3">
      <c r="A136" s="1" t="s">
        <v>154</v>
      </c>
      <c r="B136" s="1" t="s">
        <v>17</v>
      </c>
      <c r="C136" s="1" t="s">
        <v>15</v>
      </c>
      <c r="D136" s="1">
        <v>2</v>
      </c>
      <c r="E136" s="1">
        <v>1</v>
      </c>
      <c r="F136" s="1">
        <v>5341</v>
      </c>
      <c r="G136" s="2">
        <v>45824</v>
      </c>
      <c r="H136" s="2">
        <v>45825</v>
      </c>
      <c r="I136" s="1" t="s">
        <v>19</v>
      </c>
      <c r="J136" s="1">
        <v>1</v>
      </c>
      <c r="K136" s="1">
        <f t="shared" si="6"/>
        <v>1</v>
      </c>
      <c r="L136" s="1">
        <f t="shared" si="7"/>
        <v>5341</v>
      </c>
      <c r="M136" s="1" t="str">
        <f t="shared" si="8"/>
        <v>Jun</v>
      </c>
    </row>
    <row r="137" spans="1:13" x14ac:dyDescent="0.3">
      <c r="A137" s="1" t="s">
        <v>155</v>
      </c>
      <c r="B137" s="1" t="s">
        <v>11</v>
      </c>
      <c r="C137" s="1" t="s">
        <v>15</v>
      </c>
      <c r="D137" s="1">
        <v>2</v>
      </c>
      <c r="E137" s="1">
        <v>3</v>
      </c>
      <c r="F137" s="1">
        <v>9216</v>
      </c>
      <c r="G137" s="2">
        <v>45658</v>
      </c>
      <c r="H137" s="2">
        <v>45662</v>
      </c>
      <c r="I137" s="1" t="s">
        <v>21</v>
      </c>
      <c r="J137" s="1">
        <v>5</v>
      </c>
      <c r="K137" s="1">
        <f t="shared" si="6"/>
        <v>4</v>
      </c>
      <c r="L137" s="1">
        <f t="shared" si="7"/>
        <v>36864</v>
      </c>
      <c r="M137" s="1" t="str">
        <f t="shared" si="8"/>
        <v>Jan</v>
      </c>
    </row>
    <row r="138" spans="1:13" x14ac:dyDescent="0.3">
      <c r="A138" s="1" t="s">
        <v>156</v>
      </c>
      <c r="B138" s="1" t="s">
        <v>11</v>
      </c>
      <c r="C138" s="1" t="s">
        <v>15</v>
      </c>
      <c r="D138" s="1">
        <v>3</v>
      </c>
      <c r="E138" s="1">
        <v>0</v>
      </c>
      <c r="F138" s="1">
        <v>10154</v>
      </c>
      <c r="G138" s="2">
        <v>45945</v>
      </c>
      <c r="H138" s="2">
        <v>45950</v>
      </c>
      <c r="I138" s="1" t="s">
        <v>13</v>
      </c>
      <c r="J138" s="1">
        <v>5</v>
      </c>
      <c r="K138" s="1">
        <f t="shared" si="6"/>
        <v>5</v>
      </c>
      <c r="L138" s="1">
        <f t="shared" si="7"/>
        <v>50770</v>
      </c>
      <c r="M138" s="1" t="str">
        <f t="shared" si="8"/>
        <v>Oct</v>
      </c>
    </row>
    <row r="139" spans="1:13" x14ac:dyDescent="0.3">
      <c r="A139" s="1" t="s">
        <v>157</v>
      </c>
      <c r="B139" s="1" t="s">
        <v>17</v>
      </c>
      <c r="C139" s="1" t="s">
        <v>15</v>
      </c>
      <c r="D139" s="1">
        <v>3</v>
      </c>
      <c r="E139" s="1">
        <v>3</v>
      </c>
      <c r="F139" s="1">
        <v>11444</v>
      </c>
      <c r="G139" s="2">
        <v>45718</v>
      </c>
      <c r="H139" s="2">
        <v>45723</v>
      </c>
      <c r="I139" s="1" t="s">
        <v>13</v>
      </c>
      <c r="J139" s="1">
        <v>1</v>
      </c>
      <c r="K139" s="1">
        <f t="shared" si="6"/>
        <v>5</v>
      </c>
      <c r="L139" s="1">
        <f t="shared" si="7"/>
        <v>57220</v>
      </c>
      <c r="M139" s="1" t="str">
        <f t="shared" si="8"/>
        <v>Mar</v>
      </c>
    </row>
    <row r="140" spans="1:13" x14ac:dyDescent="0.3">
      <c r="A140" s="1" t="s">
        <v>158</v>
      </c>
      <c r="B140" s="1" t="s">
        <v>11</v>
      </c>
      <c r="C140" s="1" t="s">
        <v>15</v>
      </c>
      <c r="D140" s="1">
        <v>1</v>
      </c>
      <c r="E140" s="1">
        <v>2</v>
      </c>
      <c r="F140" s="1">
        <v>7873</v>
      </c>
      <c r="G140" s="2">
        <v>45795</v>
      </c>
      <c r="H140" s="2">
        <v>45800</v>
      </c>
      <c r="I140" s="1" t="s">
        <v>23</v>
      </c>
      <c r="J140" s="1">
        <v>1</v>
      </c>
      <c r="K140" s="1">
        <f t="shared" si="6"/>
        <v>5</v>
      </c>
      <c r="L140" s="1">
        <f t="shared" si="7"/>
        <v>39365</v>
      </c>
      <c r="M140" s="1" t="str">
        <f t="shared" si="8"/>
        <v>May</v>
      </c>
    </row>
    <row r="141" spans="1:13" x14ac:dyDescent="0.3">
      <c r="A141" s="1" t="s">
        <v>159</v>
      </c>
      <c r="B141" s="1" t="s">
        <v>11</v>
      </c>
      <c r="C141" s="1" t="s">
        <v>18</v>
      </c>
      <c r="D141" s="1">
        <v>4</v>
      </c>
      <c r="E141" s="1">
        <v>0</v>
      </c>
      <c r="F141" s="1">
        <v>7826</v>
      </c>
      <c r="G141" s="2">
        <v>45835</v>
      </c>
      <c r="H141" s="2">
        <v>45837</v>
      </c>
      <c r="I141" s="1" t="s">
        <v>19</v>
      </c>
      <c r="J141" s="1">
        <v>3</v>
      </c>
      <c r="K141" s="1">
        <f t="shared" si="6"/>
        <v>2</v>
      </c>
      <c r="L141" s="1">
        <f t="shared" si="7"/>
        <v>15652</v>
      </c>
      <c r="M141" s="1" t="str">
        <f t="shared" si="8"/>
        <v>Jun</v>
      </c>
    </row>
    <row r="142" spans="1:13" x14ac:dyDescent="0.3">
      <c r="A142" s="1" t="s">
        <v>160</v>
      </c>
      <c r="B142" s="1" t="s">
        <v>17</v>
      </c>
      <c r="C142" s="1" t="s">
        <v>30</v>
      </c>
      <c r="D142" s="1">
        <v>3</v>
      </c>
      <c r="E142" s="1">
        <v>1</v>
      </c>
      <c r="F142" s="1">
        <v>4609</v>
      </c>
      <c r="G142" s="2">
        <v>45886</v>
      </c>
      <c r="H142" s="2">
        <v>45890</v>
      </c>
      <c r="I142" s="1" t="s">
        <v>19</v>
      </c>
      <c r="J142" s="1">
        <v>2</v>
      </c>
      <c r="K142" s="1">
        <f t="shared" si="6"/>
        <v>4</v>
      </c>
      <c r="L142" s="1">
        <f t="shared" si="7"/>
        <v>18436</v>
      </c>
      <c r="M142" s="1" t="str">
        <f t="shared" si="8"/>
        <v>Aug</v>
      </c>
    </row>
    <row r="143" spans="1:13" x14ac:dyDescent="0.3">
      <c r="A143" s="1" t="s">
        <v>161</v>
      </c>
      <c r="B143" s="1" t="s">
        <v>17</v>
      </c>
      <c r="C143" s="1" t="s">
        <v>15</v>
      </c>
      <c r="D143" s="1">
        <v>1</v>
      </c>
      <c r="E143" s="1">
        <v>0</v>
      </c>
      <c r="F143" s="1">
        <v>7410</v>
      </c>
      <c r="G143" s="2">
        <v>45685</v>
      </c>
      <c r="H143" s="2">
        <v>45688</v>
      </c>
      <c r="I143" s="1" t="s">
        <v>13</v>
      </c>
      <c r="J143" s="1">
        <v>3</v>
      </c>
      <c r="K143" s="1">
        <f t="shared" si="6"/>
        <v>3</v>
      </c>
      <c r="L143" s="1">
        <f t="shared" si="7"/>
        <v>22230</v>
      </c>
      <c r="M143" s="1" t="str">
        <f t="shared" si="8"/>
        <v>Jan</v>
      </c>
    </row>
    <row r="144" spans="1:13" x14ac:dyDescent="0.3">
      <c r="A144" s="1" t="s">
        <v>162</v>
      </c>
      <c r="B144" s="1" t="s">
        <v>17</v>
      </c>
      <c r="C144" s="1" t="s">
        <v>15</v>
      </c>
      <c r="D144" s="1">
        <v>4</v>
      </c>
      <c r="E144" s="1">
        <v>1</v>
      </c>
      <c r="F144" s="1">
        <v>5667</v>
      </c>
      <c r="G144" s="2">
        <v>45933</v>
      </c>
      <c r="H144" s="2">
        <v>45940</v>
      </c>
      <c r="I144" s="1" t="s">
        <v>21</v>
      </c>
      <c r="J144" s="1">
        <v>3</v>
      </c>
      <c r="K144" s="1">
        <f t="shared" si="6"/>
        <v>7</v>
      </c>
      <c r="L144" s="1">
        <f t="shared" si="7"/>
        <v>39669</v>
      </c>
      <c r="M144" s="1" t="str">
        <f t="shared" si="8"/>
        <v>Oct</v>
      </c>
    </row>
    <row r="145" spans="1:13" x14ac:dyDescent="0.3">
      <c r="A145" s="1" t="s">
        <v>163</v>
      </c>
      <c r="B145" s="1" t="s">
        <v>11</v>
      </c>
      <c r="C145" s="1" t="s">
        <v>18</v>
      </c>
      <c r="D145" s="1">
        <v>2</v>
      </c>
      <c r="E145" s="1">
        <v>0</v>
      </c>
      <c r="F145" s="1">
        <v>7614</v>
      </c>
      <c r="G145" s="2">
        <v>45787</v>
      </c>
      <c r="H145" s="2">
        <v>45793</v>
      </c>
      <c r="I145" s="1" t="s">
        <v>19</v>
      </c>
      <c r="J145" s="1">
        <v>3</v>
      </c>
      <c r="K145" s="1">
        <f t="shared" si="6"/>
        <v>6</v>
      </c>
      <c r="L145" s="1">
        <f t="shared" si="7"/>
        <v>45684</v>
      </c>
      <c r="M145" s="1" t="str">
        <f t="shared" si="8"/>
        <v>May</v>
      </c>
    </row>
    <row r="146" spans="1:13" x14ac:dyDescent="0.3">
      <c r="A146" s="1" t="s">
        <v>164</v>
      </c>
      <c r="B146" s="1" t="s">
        <v>17</v>
      </c>
      <c r="C146" s="1" t="s">
        <v>30</v>
      </c>
      <c r="D146" s="1">
        <v>4</v>
      </c>
      <c r="E146" s="1">
        <v>1</v>
      </c>
      <c r="F146" s="1">
        <v>7019</v>
      </c>
      <c r="G146" s="2">
        <v>45875</v>
      </c>
      <c r="H146" s="2">
        <v>45881</v>
      </c>
      <c r="I146" s="1" t="s">
        <v>23</v>
      </c>
      <c r="J146" s="1">
        <v>1</v>
      </c>
      <c r="K146" s="1">
        <f t="shared" si="6"/>
        <v>6</v>
      </c>
      <c r="L146" s="1">
        <f t="shared" si="7"/>
        <v>42114</v>
      </c>
      <c r="M146" s="1" t="str">
        <f t="shared" si="8"/>
        <v>Aug</v>
      </c>
    </row>
    <row r="147" spans="1:13" x14ac:dyDescent="0.3">
      <c r="A147" s="1" t="s">
        <v>165</v>
      </c>
      <c r="B147" s="1" t="s">
        <v>11</v>
      </c>
      <c r="C147" s="1" t="s">
        <v>15</v>
      </c>
      <c r="D147" s="1">
        <v>3</v>
      </c>
      <c r="E147" s="1">
        <v>2</v>
      </c>
      <c r="F147" s="1">
        <v>7493</v>
      </c>
      <c r="G147" s="2">
        <v>45911</v>
      </c>
      <c r="H147" s="2">
        <v>45912</v>
      </c>
      <c r="I147" s="1" t="s">
        <v>21</v>
      </c>
      <c r="J147" s="1">
        <v>5</v>
      </c>
      <c r="K147" s="1">
        <f t="shared" si="6"/>
        <v>1</v>
      </c>
      <c r="L147" s="1">
        <f t="shared" si="7"/>
        <v>7493</v>
      </c>
      <c r="M147" s="1" t="str">
        <f t="shared" si="8"/>
        <v>Sep</v>
      </c>
    </row>
    <row r="148" spans="1:13" x14ac:dyDescent="0.3">
      <c r="A148" s="1" t="s">
        <v>166</v>
      </c>
      <c r="B148" s="1" t="s">
        <v>17</v>
      </c>
      <c r="C148" s="1" t="s">
        <v>15</v>
      </c>
      <c r="D148" s="1">
        <v>1</v>
      </c>
      <c r="E148" s="1">
        <v>0</v>
      </c>
      <c r="F148" s="1">
        <v>3514</v>
      </c>
      <c r="G148" s="2">
        <v>45946</v>
      </c>
      <c r="H148" s="2">
        <v>45949</v>
      </c>
      <c r="I148" s="1" t="s">
        <v>21</v>
      </c>
      <c r="J148" s="1">
        <v>4</v>
      </c>
      <c r="K148" s="1">
        <f t="shared" si="6"/>
        <v>3</v>
      </c>
      <c r="L148" s="1">
        <f t="shared" si="7"/>
        <v>10542</v>
      </c>
      <c r="M148" s="1" t="str">
        <f t="shared" si="8"/>
        <v>Oct</v>
      </c>
    </row>
    <row r="149" spans="1:13" x14ac:dyDescent="0.3">
      <c r="A149" s="1" t="s">
        <v>167</v>
      </c>
      <c r="B149" s="1" t="s">
        <v>17</v>
      </c>
      <c r="C149" s="1" t="s">
        <v>15</v>
      </c>
      <c r="D149" s="1">
        <v>4</v>
      </c>
      <c r="E149" s="1">
        <v>2</v>
      </c>
      <c r="F149" s="1">
        <v>3812</v>
      </c>
      <c r="G149" s="2">
        <v>45989</v>
      </c>
      <c r="H149" s="2">
        <v>45994</v>
      </c>
      <c r="I149" s="1" t="s">
        <v>21</v>
      </c>
      <c r="J149" s="1">
        <v>2</v>
      </c>
      <c r="K149" s="1">
        <f t="shared" si="6"/>
        <v>5</v>
      </c>
      <c r="L149" s="1">
        <f t="shared" si="7"/>
        <v>19060</v>
      </c>
      <c r="M149" s="1" t="str">
        <f t="shared" si="8"/>
        <v>Nov</v>
      </c>
    </row>
    <row r="150" spans="1:13" x14ac:dyDescent="0.3">
      <c r="A150" s="1" t="s">
        <v>168</v>
      </c>
      <c r="B150" s="1" t="s">
        <v>17</v>
      </c>
      <c r="C150" s="1" t="s">
        <v>18</v>
      </c>
      <c r="D150" s="1">
        <v>3</v>
      </c>
      <c r="E150" s="1">
        <v>1</v>
      </c>
      <c r="F150" s="1">
        <v>10321</v>
      </c>
      <c r="G150" s="2">
        <v>45726</v>
      </c>
      <c r="H150" s="2">
        <v>45729</v>
      </c>
      <c r="I150" s="1" t="s">
        <v>23</v>
      </c>
      <c r="J150" s="1">
        <v>1</v>
      </c>
      <c r="K150" s="1">
        <f t="shared" si="6"/>
        <v>3</v>
      </c>
      <c r="L150" s="1">
        <f t="shared" si="7"/>
        <v>30963</v>
      </c>
      <c r="M150" s="1" t="str">
        <f t="shared" si="8"/>
        <v>Mar</v>
      </c>
    </row>
    <row r="151" spans="1:13" x14ac:dyDescent="0.3">
      <c r="A151" s="1" t="s">
        <v>169</v>
      </c>
      <c r="B151" s="1" t="s">
        <v>11</v>
      </c>
      <c r="C151" s="1" t="s">
        <v>18</v>
      </c>
      <c r="D151" s="1">
        <v>3</v>
      </c>
      <c r="E151" s="1">
        <v>3</v>
      </c>
      <c r="F151" s="1">
        <v>9814</v>
      </c>
      <c r="G151" s="2">
        <v>45919</v>
      </c>
      <c r="H151" s="2">
        <v>45924</v>
      </c>
      <c r="I151" s="1" t="s">
        <v>19</v>
      </c>
      <c r="J151" s="1">
        <v>3</v>
      </c>
      <c r="K151" s="1">
        <f t="shared" si="6"/>
        <v>5</v>
      </c>
      <c r="L151" s="1">
        <f t="shared" si="7"/>
        <v>49070</v>
      </c>
      <c r="M151" s="1" t="str">
        <f t="shared" si="8"/>
        <v>Sep</v>
      </c>
    </row>
    <row r="152" spans="1:13" x14ac:dyDescent="0.3">
      <c r="A152" s="1" t="s">
        <v>170</v>
      </c>
      <c r="B152" s="1" t="s">
        <v>11</v>
      </c>
      <c r="C152" s="1" t="s">
        <v>12</v>
      </c>
      <c r="D152" s="1">
        <v>2</v>
      </c>
      <c r="E152" s="1">
        <v>1</v>
      </c>
      <c r="F152" s="1">
        <v>11047</v>
      </c>
      <c r="G152" s="2">
        <v>45929</v>
      </c>
      <c r="H152" s="2">
        <v>45934</v>
      </c>
      <c r="I152" s="1" t="s">
        <v>23</v>
      </c>
      <c r="J152" s="1">
        <v>1</v>
      </c>
      <c r="K152" s="1">
        <f t="shared" si="6"/>
        <v>5</v>
      </c>
      <c r="L152" s="1">
        <f t="shared" si="7"/>
        <v>55235</v>
      </c>
      <c r="M152" s="1" t="str">
        <f t="shared" si="8"/>
        <v>Sep</v>
      </c>
    </row>
    <row r="153" spans="1:13" x14ac:dyDescent="0.3">
      <c r="A153" s="1" t="s">
        <v>171</v>
      </c>
      <c r="B153" s="1" t="s">
        <v>17</v>
      </c>
      <c r="C153" s="1" t="s">
        <v>18</v>
      </c>
      <c r="D153" s="1">
        <v>2</v>
      </c>
      <c r="E153" s="1">
        <v>0</v>
      </c>
      <c r="F153" s="1">
        <v>8166</v>
      </c>
      <c r="G153" s="2">
        <v>45716</v>
      </c>
      <c r="H153" s="2">
        <v>45718</v>
      </c>
      <c r="I153" s="1" t="s">
        <v>23</v>
      </c>
      <c r="J153" s="1">
        <v>3</v>
      </c>
      <c r="K153" s="1">
        <f t="shared" si="6"/>
        <v>2</v>
      </c>
      <c r="L153" s="1">
        <f t="shared" si="7"/>
        <v>16332</v>
      </c>
      <c r="M153" s="1" t="str">
        <f t="shared" si="8"/>
        <v>Feb</v>
      </c>
    </row>
    <row r="154" spans="1:13" x14ac:dyDescent="0.3">
      <c r="A154" s="1" t="s">
        <v>172</v>
      </c>
      <c r="B154" s="1" t="s">
        <v>17</v>
      </c>
      <c r="C154" s="1" t="s">
        <v>30</v>
      </c>
      <c r="D154" s="1">
        <v>1</v>
      </c>
      <c r="E154" s="1">
        <v>2</v>
      </c>
      <c r="F154" s="1">
        <v>6697</v>
      </c>
      <c r="G154" s="2">
        <v>45800</v>
      </c>
      <c r="H154" s="2">
        <v>45802</v>
      </c>
      <c r="I154" s="1" t="s">
        <v>19</v>
      </c>
      <c r="J154" s="1">
        <v>4</v>
      </c>
      <c r="K154" s="1">
        <f t="shared" si="6"/>
        <v>2</v>
      </c>
      <c r="L154" s="1">
        <f t="shared" si="7"/>
        <v>13394</v>
      </c>
      <c r="M154" s="1" t="str">
        <f t="shared" si="8"/>
        <v>May</v>
      </c>
    </row>
    <row r="155" spans="1:13" x14ac:dyDescent="0.3">
      <c r="A155" s="1" t="s">
        <v>173</v>
      </c>
      <c r="B155" s="1" t="s">
        <v>11</v>
      </c>
      <c r="C155" s="1" t="s">
        <v>18</v>
      </c>
      <c r="D155" s="1">
        <v>3</v>
      </c>
      <c r="E155" s="1">
        <v>3</v>
      </c>
      <c r="F155" s="1">
        <v>6762</v>
      </c>
      <c r="G155" s="2">
        <v>45749</v>
      </c>
      <c r="H155" s="2">
        <v>45756</v>
      </c>
      <c r="I155" s="1" t="s">
        <v>23</v>
      </c>
      <c r="J155" s="1">
        <v>4</v>
      </c>
      <c r="K155" s="1">
        <f t="shared" si="6"/>
        <v>7</v>
      </c>
      <c r="L155" s="1">
        <f t="shared" si="7"/>
        <v>47334</v>
      </c>
      <c r="M155" s="1" t="str">
        <f t="shared" si="8"/>
        <v>Apr</v>
      </c>
    </row>
    <row r="156" spans="1:13" x14ac:dyDescent="0.3">
      <c r="A156" s="1" t="s">
        <v>174</v>
      </c>
      <c r="B156" s="1" t="s">
        <v>17</v>
      </c>
      <c r="C156" s="1" t="s">
        <v>15</v>
      </c>
      <c r="D156" s="1">
        <v>1</v>
      </c>
      <c r="E156" s="1">
        <v>2</v>
      </c>
      <c r="F156" s="1">
        <v>8534</v>
      </c>
      <c r="G156" s="2">
        <v>45841</v>
      </c>
      <c r="H156" s="2">
        <v>45842</v>
      </c>
      <c r="I156" s="1" t="s">
        <v>19</v>
      </c>
      <c r="J156" s="1">
        <v>4</v>
      </c>
      <c r="K156" s="1">
        <f t="shared" si="6"/>
        <v>1</v>
      </c>
      <c r="L156" s="1">
        <f t="shared" si="7"/>
        <v>8534</v>
      </c>
      <c r="M156" s="1" t="str">
        <f t="shared" si="8"/>
        <v>Jul</v>
      </c>
    </row>
    <row r="157" spans="1:13" x14ac:dyDescent="0.3">
      <c r="A157" s="1" t="s">
        <v>175</v>
      </c>
      <c r="B157" s="1" t="s">
        <v>11</v>
      </c>
      <c r="C157" s="1" t="s">
        <v>12</v>
      </c>
      <c r="D157" s="1">
        <v>4</v>
      </c>
      <c r="E157" s="1">
        <v>0</v>
      </c>
      <c r="F157" s="1">
        <v>7590</v>
      </c>
      <c r="G157" s="2">
        <v>45804</v>
      </c>
      <c r="H157" s="2">
        <v>45808</v>
      </c>
      <c r="I157" s="1" t="s">
        <v>13</v>
      </c>
      <c r="J157" s="1">
        <v>4</v>
      </c>
      <c r="K157" s="1">
        <f t="shared" si="6"/>
        <v>4</v>
      </c>
      <c r="L157" s="1">
        <f t="shared" si="7"/>
        <v>30360</v>
      </c>
      <c r="M157" s="1" t="str">
        <f t="shared" si="8"/>
        <v>May</v>
      </c>
    </row>
    <row r="158" spans="1:13" x14ac:dyDescent="0.3">
      <c r="A158" s="1" t="s">
        <v>176</v>
      </c>
      <c r="B158" s="1" t="s">
        <v>11</v>
      </c>
      <c r="C158" s="1" t="s">
        <v>18</v>
      </c>
      <c r="D158" s="1">
        <v>2</v>
      </c>
      <c r="E158" s="1">
        <v>0</v>
      </c>
      <c r="F158" s="1">
        <v>8830</v>
      </c>
      <c r="G158" s="2">
        <v>45658</v>
      </c>
      <c r="H158" s="2">
        <v>45660</v>
      </c>
      <c r="I158" s="1" t="s">
        <v>19</v>
      </c>
      <c r="J158" s="1">
        <v>3</v>
      </c>
      <c r="K158" s="1">
        <f t="shared" si="6"/>
        <v>2</v>
      </c>
      <c r="L158" s="1">
        <f t="shared" si="7"/>
        <v>17660</v>
      </c>
      <c r="M158" s="1" t="str">
        <f t="shared" si="8"/>
        <v>Jan</v>
      </c>
    </row>
    <row r="159" spans="1:13" x14ac:dyDescent="0.3">
      <c r="A159" s="1" t="s">
        <v>177</v>
      </c>
      <c r="B159" s="1" t="s">
        <v>11</v>
      </c>
      <c r="C159" s="1" t="s">
        <v>18</v>
      </c>
      <c r="D159" s="1">
        <v>3</v>
      </c>
      <c r="E159" s="1">
        <v>0</v>
      </c>
      <c r="F159" s="1">
        <v>2937</v>
      </c>
      <c r="G159" s="2">
        <v>45892</v>
      </c>
      <c r="H159" s="2">
        <v>45897</v>
      </c>
      <c r="I159" s="1" t="s">
        <v>23</v>
      </c>
      <c r="J159" s="1">
        <v>1</v>
      </c>
      <c r="K159" s="1">
        <f t="shared" si="6"/>
        <v>5</v>
      </c>
      <c r="L159" s="1">
        <f t="shared" si="7"/>
        <v>14685</v>
      </c>
      <c r="M159" s="1" t="str">
        <f t="shared" si="8"/>
        <v>Aug</v>
      </c>
    </row>
    <row r="160" spans="1:13" x14ac:dyDescent="0.3">
      <c r="A160" s="1" t="s">
        <v>178</v>
      </c>
      <c r="B160" s="1" t="s">
        <v>17</v>
      </c>
      <c r="C160" s="1" t="s">
        <v>18</v>
      </c>
      <c r="D160" s="1">
        <v>3</v>
      </c>
      <c r="E160" s="1">
        <v>0</v>
      </c>
      <c r="F160" s="1">
        <v>9609</v>
      </c>
      <c r="G160" s="2">
        <v>45762</v>
      </c>
      <c r="H160" s="2">
        <v>45764</v>
      </c>
      <c r="I160" s="1" t="s">
        <v>13</v>
      </c>
      <c r="J160" s="1">
        <v>4</v>
      </c>
      <c r="K160" s="1">
        <f t="shared" si="6"/>
        <v>2</v>
      </c>
      <c r="L160" s="1">
        <f t="shared" si="7"/>
        <v>19218</v>
      </c>
      <c r="M160" s="1" t="str">
        <f t="shared" si="8"/>
        <v>Apr</v>
      </c>
    </row>
    <row r="161" spans="1:13" x14ac:dyDescent="0.3">
      <c r="A161" s="1" t="s">
        <v>179</v>
      </c>
      <c r="B161" s="1" t="s">
        <v>11</v>
      </c>
      <c r="C161" s="1" t="s">
        <v>12</v>
      </c>
      <c r="D161" s="1">
        <v>3</v>
      </c>
      <c r="E161" s="1">
        <v>0</v>
      </c>
      <c r="F161" s="1">
        <v>11796</v>
      </c>
      <c r="G161" s="2">
        <v>45723</v>
      </c>
      <c r="H161" s="2">
        <v>45724</v>
      </c>
      <c r="I161" s="1" t="s">
        <v>21</v>
      </c>
      <c r="J161" s="1">
        <v>5</v>
      </c>
      <c r="K161" s="1">
        <f t="shared" si="6"/>
        <v>1</v>
      </c>
      <c r="L161" s="1">
        <f t="shared" si="7"/>
        <v>11796</v>
      </c>
      <c r="M161" s="1" t="str">
        <f t="shared" si="8"/>
        <v>Mar</v>
      </c>
    </row>
    <row r="162" spans="1:13" x14ac:dyDescent="0.3">
      <c r="A162" s="1" t="s">
        <v>180</v>
      </c>
      <c r="B162" s="1" t="s">
        <v>11</v>
      </c>
      <c r="C162" s="1" t="s">
        <v>18</v>
      </c>
      <c r="D162" s="1">
        <v>1</v>
      </c>
      <c r="E162" s="1">
        <v>2</v>
      </c>
      <c r="F162" s="1">
        <v>7930</v>
      </c>
      <c r="G162" s="2">
        <v>45867</v>
      </c>
      <c r="H162" s="2">
        <v>45869</v>
      </c>
      <c r="I162" s="1" t="s">
        <v>23</v>
      </c>
      <c r="J162" s="1">
        <v>4</v>
      </c>
      <c r="K162" s="1">
        <f t="shared" si="6"/>
        <v>2</v>
      </c>
      <c r="L162" s="1">
        <f t="shared" si="7"/>
        <v>15860</v>
      </c>
      <c r="M162" s="1" t="str">
        <f t="shared" si="8"/>
        <v>Jul</v>
      </c>
    </row>
    <row r="163" spans="1:13" x14ac:dyDescent="0.3">
      <c r="A163" s="1" t="s">
        <v>181</v>
      </c>
      <c r="B163" s="1" t="s">
        <v>11</v>
      </c>
      <c r="C163" s="1" t="s">
        <v>12</v>
      </c>
      <c r="D163" s="1">
        <v>4</v>
      </c>
      <c r="E163" s="1">
        <v>3</v>
      </c>
      <c r="F163" s="1">
        <v>9478</v>
      </c>
      <c r="G163" s="2">
        <v>45818</v>
      </c>
      <c r="H163" s="2">
        <v>45824</v>
      </c>
      <c r="I163" s="1" t="s">
        <v>13</v>
      </c>
      <c r="J163" s="1">
        <v>3</v>
      </c>
      <c r="K163" s="1">
        <f t="shared" si="6"/>
        <v>6</v>
      </c>
      <c r="L163" s="1">
        <f t="shared" si="7"/>
        <v>56868</v>
      </c>
      <c r="M163" s="1" t="str">
        <f t="shared" si="8"/>
        <v>Jun</v>
      </c>
    </row>
    <row r="164" spans="1:13" x14ac:dyDescent="0.3">
      <c r="A164" s="1" t="s">
        <v>182</v>
      </c>
      <c r="B164" s="1" t="s">
        <v>11</v>
      </c>
      <c r="C164" s="1" t="s">
        <v>18</v>
      </c>
      <c r="D164" s="1">
        <v>3</v>
      </c>
      <c r="E164" s="1">
        <v>2</v>
      </c>
      <c r="F164" s="1">
        <v>11642</v>
      </c>
      <c r="G164" s="2">
        <v>45921</v>
      </c>
      <c r="H164" s="2">
        <v>45928</v>
      </c>
      <c r="I164" s="1" t="s">
        <v>21</v>
      </c>
      <c r="J164" s="1">
        <v>1</v>
      </c>
      <c r="K164" s="1">
        <f t="shared" si="6"/>
        <v>7</v>
      </c>
      <c r="L164" s="1">
        <f t="shared" si="7"/>
        <v>81494</v>
      </c>
      <c r="M164" s="1" t="str">
        <f t="shared" si="8"/>
        <v>Sep</v>
      </c>
    </row>
    <row r="165" spans="1:13" x14ac:dyDescent="0.3">
      <c r="A165" s="1" t="s">
        <v>183</v>
      </c>
      <c r="B165" s="1" t="s">
        <v>17</v>
      </c>
      <c r="C165" s="1" t="s">
        <v>15</v>
      </c>
      <c r="D165" s="1">
        <v>2</v>
      </c>
      <c r="E165" s="1">
        <v>2</v>
      </c>
      <c r="F165" s="1">
        <v>9672</v>
      </c>
      <c r="G165" s="2">
        <v>45852</v>
      </c>
      <c r="H165" s="2">
        <v>45855</v>
      </c>
      <c r="I165" s="1" t="s">
        <v>19</v>
      </c>
      <c r="J165" s="1">
        <v>5</v>
      </c>
      <c r="K165" s="1">
        <f t="shared" si="6"/>
        <v>3</v>
      </c>
      <c r="L165" s="1">
        <f t="shared" si="7"/>
        <v>29016</v>
      </c>
      <c r="M165" s="1" t="str">
        <f t="shared" si="8"/>
        <v>Jul</v>
      </c>
    </row>
    <row r="166" spans="1:13" x14ac:dyDescent="0.3">
      <c r="A166" s="1" t="s">
        <v>184</v>
      </c>
      <c r="B166" s="1" t="s">
        <v>11</v>
      </c>
      <c r="C166" s="1" t="s">
        <v>18</v>
      </c>
      <c r="D166" s="1">
        <v>4</v>
      </c>
      <c r="E166" s="1">
        <v>3</v>
      </c>
      <c r="F166" s="1">
        <v>6546</v>
      </c>
      <c r="G166" s="2">
        <v>45902</v>
      </c>
      <c r="H166" s="2">
        <v>45908</v>
      </c>
      <c r="I166" s="1" t="s">
        <v>19</v>
      </c>
      <c r="J166" s="1">
        <v>2</v>
      </c>
      <c r="K166" s="1">
        <f t="shared" si="6"/>
        <v>6</v>
      </c>
      <c r="L166" s="1">
        <f t="shared" si="7"/>
        <v>39276</v>
      </c>
      <c r="M166" s="1" t="str">
        <f t="shared" si="8"/>
        <v>Sep</v>
      </c>
    </row>
    <row r="167" spans="1:13" x14ac:dyDescent="0.3">
      <c r="A167" s="1" t="s">
        <v>185</v>
      </c>
      <c r="B167" s="1" t="s">
        <v>17</v>
      </c>
      <c r="C167" s="1" t="s">
        <v>18</v>
      </c>
      <c r="D167" s="1">
        <v>1</v>
      </c>
      <c r="E167" s="1">
        <v>3</v>
      </c>
      <c r="F167" s="1">
        <v>3866</v>
      </c>
      <c r="G167" s="2">
        <v>45871</v>
      </c>
      <c r="H167" s="2">
        <v>45876</v>
      </c>
      <c r="I167" s="1" t="s">
        <v>19</v>
      </c>
      <c r="J167" s="1">
        <v>1</v>
      </c>
      <c r="K167" s="1">
        <f t="shared" si="6"/>
        <v>5</v>
      </c>
      <c r="L167" s="1">
        <f t="shared" si="7"/>
        <v>19330</v>
      </c>
      <c r="M167" s="1" t="str">
        <f t="shared" si="8"/>
        <v>Aug</v>
      </c>
    </row>
    <row r="168" spans="1:13" x14ac:dyDescent="0.3">
      <c r="A168" s="1" t="s">
        <v>186</v>
      </c>
      <c r="B168" s="1" t="s">
        <v>11</v>
      </c>
      <c r="C168" s="1" t="s">
        <v>30</v>
      </c>
      <c r="D168" s="1">
        <v>1</v>
      </c>
      <c r="E168" s="1">
        <v>1</v>
      </c>
      <c r="F168" s="1">
        <v>9711</v>
      </c>
      <c r="G168" s="2">
        <v>45881</v>
      </c>
      <c r="H168" s="2">
        <v>45884</v>
      </c>
      <c r="I168" s="1" t="s">
        <v>19</v>
      </c>
      <c r="J168" s="1">
        <v>1</v>
      </c>
      <c r="K168" s="1">
        <f t="shared" si="6"/>
        <v>3</v>
      </c>
      <c r="L168" s="1">
        <f t="shared" si="7"/>
        <v>29133</v>
      </c>
      <c r="M168" s="1" t="str">
        <f t="shared" si="8"/>
        <v>Aug</v>
      </c>
    </row>
    <row r="169" spans="1:13" x14ac:dyDescent="0.3">
      <c r="A169" s="1" t="s">
        <v>187</v>
      </c>
      <c r="B169" s="1" t="s">
        <v>11</v>
      </c>
      <c r="C169" s="1" t="s">
        <v>15</v>
      </c>
      <c r="D169" s="1">
        <v>3</v>
      </c>
      <c r="E169" s="1">
        <v>0</v>
      </c>
      <c r="F169" s="1">
        <v>7514</v>
      </c>
      <c r="G169" s="2">
        <v>45874</v>
      </c>
      <c r="H169" s="2">
        <v>45878</v>
      </c>
      <c r="I169" s="1" t="s">
        <v>13</v>
      </c>
      <c r="J169" s="1">
        <v>5</v>
      </c>
      <c r="K169" s="1">
        <f t="shared" si="6"/>
        <v>4</v>
      </c>
      <c r="L169" s="1">
        <f t="shared" si="7"/>
        <v>30056</v>
      </c>
      <c r="M169" s="1" t="str">
        <f t="shared" si="8"/>
        <v>Aug</v>
      </c>
    </row>
    <row r="170" spans="1:13" x14ac:dyDescent="0.3">
      <c r="A170" s="1" t="s">
        <v>188</v>
      </c>
      <c r="B170" s="1" t="s">
        <v>11</v>
      </c>
      <c r="C170" s="1" t="s">
        <v>18</v>
      </c>
      <c r="D170" s="1">
        <v>3</v>
      </c>
      <c r="E170" s="1">
        <v>1</v>
      </c>
      <c r="F170" s="1">
        <v>9368</v>
      </c>
      <c r="G170" s="2">
        <v>45930</v>
      </c>
      <c r="H170" s="2">
        <v>45934</v>
      </c>
      <c r="I170" s="1" t="s">
        <v>13</v>
      </c>
      <c r="J170" s="1">
        <v>2</v>
      </c>
      <c r="K170" s="1">
        <f t="shared" si="6"/>
        <v>4</v>
      </c>
      <c r="L170" s="1">
        <f t="shared" si="7"/>
        <v>37472</v>
      </c>
      <c r="M170" s="1" t="str">
        <f t="shared" si="8"/>
        <v>Sep</v>
      </c>
    </row>
    <row r="171" spans="1:13" x14ac:dyDescent="0.3">
      <c r="A171" s="1" t="s">
        <v>189</v>
      </c>
      <c r="B171" s="1" t="s">
        <v>17</v>
      </c>
      <c r="C171" s="1" t="s">
        <v>18</v>
      </c>
      <c r="D171" s="1">
        <v>3</v>
      </c>
      <c r="E171" s="1">
        <v>1</v>
      </c>
      <c r="F171" s="1">
        <v>11935</v>
      </c>
      <c r="G171" s="2">
        <v>45813</v>
      </c>
      <c r="H171" s="2">
        <v>45820</v>
      </c>
      <c r="I171" s="1" t="s">
        <v>23</v>
      </c>
      <c r="J171" s="1">
        <v>3</v>
      </c>
      <c r="K171" s="1">
        <f t="shared" si="6"/>
        <v>7</v>
      </c>
      <c r="L171" s="1">
        <f t="shared" si="7"/>
        <v>83545</v>
      </c>
      <c r="M171" s="1" t="str">
        <f t="shared" si="8"/>
        <v>Jun</v>
      </c>
    </row>
    <row r="172" spans="1:13" x14ac:dyDescent="0.3">
      <c r="A172" s="1" t="s">
        <v>190</v>
      </c>
      <c r="B172" s="1" t="s">
        <v>17</v>
      </c>
      <c r="C172" s="1" t="s">
        <v>30</v>
      </c>
      <c r="D172" s="1">
        <v>3</v>
      </c>
      <c r="E172" s="1">
        <v>0</v>
      </c>
      <c r="F172" s="1">
        <v>6723</v>
      </c>
      <c r="G172" s="2">
        <v>45705</v>
      </c>
      <c r="H172" s="2">
        <v>45710</v>
      </c>
      <c r="I172" s="1" t="s">
        <v>21</v>
      </c>
      <c r="J172" s="1">
        <v>5</v>
      </c>
      <c r="K172" s="1">
        <f t="shared" si="6"/>
        <v>5</v>
      </c>
      <c r="L172" s="1">
        <f t="shared" si="7"/>
        <v>33615</v>
      </c>
      <c r="M172" s="1" t="str">
        <f t="shared" si="8"/>
        <v>Feb</v>
      </c>
    </row>
    <row r="173" spans="1:13" x14ac:dyDescent="0.3">
      <c r="A173" s="1" t="s">
        <v>191</v>
      </c>
      <c r="B173" s="1" t="s">
        <v>11</v>
      </c>
      <c r="C173" s="1" t="s">
        <v>30</v>
      </c>
      <c r="D173" s="1">
        <v>2</v>
      </c>
      <c r="E173" s="1">
        <v>0</v>
      </c>
      <c r="F173" s="1">
        <v>11141</v>
      </c>
      <c r="G173" s="2">
        <v>45872</v>
      </c>
      <c r="H173" s="2">
        <v>45877</v>
      </c>
      <c r="I173" s="1" t="s">
        <v>21</v>
      </c>
      <c r="J173" s="1">
        <v>2</v>
      </c>
      <c r="K173" s="1">
        <f t="shared" si="6"/>
        <v>5</v>
      </c>
      <c r="L173" s="1">
        <f t="shared" si="7"/>
        <v>55705</v>
      </c>
      <c r="M173" s="1" t="str">
        <f t="shared" si="8"/>
        <v>Aug</v>
      </c>
    </row>
    <row r="174" spans="1:13" x14ac:dyDescent="0.3">
      <c r="A174" s="1" t="s">
        <v>192</v>
      </c>
      <c r="B174" s="1" t="s">
        <v>17</v>
      </c>
      <c r="C174" s="1" t="s">
        <v>18</v>
      </c>
      <c r="D174" s="1">
        <v>1</v>
      </c>
      <c r="E174" s="1">
        <v>2</v>
      </c>
      <c r="F174" s="1">
        <v>8445</v>
      </c>
      <c r="G174" s="2">
        <v>45785</v>
      </c>
      <c r="H174" s="2">
        <v>45789</v>
      </c>
      <c r="I174" s="1" t="s">
        <v>13</v>
      </c>
      <c r="J174" s="1">
        <v>3</v>
      </c>
      <c r="K174" s="1">
        <f t="shared" si="6"/>
        <v>4</v>
      </c>
      <c r="L174" s="1">
        <f t="shared" si="7"/>
        <v>33780</v>
      </c>
      <c r="M174" s="1" t="str">
        <f t="shared" si="8"/>
        <v>May</v>
      </c>
    </row>
    <row r="175" spans="1:13" x14ac:dyDescent="0.3">
      <c r="A175" s="1" t="s">
        <v>193</v>
      </c>
      <c r="B175" s="1" t="s">
        <v>11</v>
      </c>
      <c r="C175" s="1" t="s">
        <v>12</v>
      </c>
      <c r="D175" s="1">
        <v>3</v>
      </c>
      <c r="E175" s="1">
        <v>1</v>
      </c>
      <c r="F175" s="1">
        <v>3930</v>
      </c>
      <c r="G175" s="2">
        <v>45756</v>
      </c>
      <c r="H175" s="2">
        <v>45758</v>
      </c>
      <c r="I175" s="1" t="s">
        <v>13</v>
      </c>
      <c r="J175" s="1">
        <v>2</v>
      </c>
      <c r="K175" s="1">
        <f t="shared" si="6"/>
        <v>2</v>
      </c>
      <c r="L175" s="1">
        <f t="shared" si="7"/>
        <v>7860</v>
      </c>
      <c r="M175" s="1" t="str">
        <f t="shared" si="8"/>
        <v>Apr</v>
      </c>
    </row>
    <row r="176" spans="1:13" x14ac:dyDescent="0.3">
      <c r="A176" s="1" t="s">
        <v>194</v>
      </c>
      <c r="B176" s="1" t="s">
        <v>11</v>
      </c>
      <c r="C176" s="1" t="s">
        <v>30</v>
      </c>
      <c r="D176" s="1">
        <v>4</v>
      </c>
      <c r="E176" s="1">
        <v>1</v>
      </c>
      <c r="F176" s="1">
        <v>7911</v>
      </c>
      <c r="G176" s="2">
        <v>45858</v>
      </c>
      <c r="H176" s="2">
        <v>45863</v>
      </c>
      <c r="I176" s="1" t="s">
        <v>19</v>
      </c>
      <c r="J176" s="1">
        <v>1</v>
      </c>
      <c r="K176" s="1">
        <f t="shared" si="6"/>
        <v>5</v>
      </c>
      <c r="L176" s="1">
        <f t="shared" si="7"/>
        <v>39555</v>
      </c>
      <c r="M176" s="1" t="str">
        <f t="shared" si="8"/>
        <v>Jul</v>
      </c>
    </row>
    <row r="177" spans="1:13" x14ac:dyDescent="0.3">
      <c r="A177" s="1" t="s">
        <v>195</v>
      </c>
      <c r="B177" s="1" t="s">
        <v>11</v>
      </c>
      <c r="C177" s="1" t="s">
        <v>12</v>
      </c>
      <c r="D177" s="1">
        <v>3</v>
      </c>
      <c r="E177" s="1">
        <v>1</v>
      </c>
      <c r="F177" s="1">
        <v>10446</v>
      </c>
      <c r="G177" s="2">
        <v>45834</v>
      </c>
      <c r="H177" s="2">
        <v>45840</v>
      </c>
      <c r="I177" s="1" t="s">
        <v>21</v>
      </c>
      <c r="J177" s="1">
        <v>4</v>
      </c>
      <c r="K177" s="1">
        <f t="shared" si="6"/>
        <v>6</v>
      </c>
      <c r="L177" s="1">
        <f t="shared" si="7"/>
        <v>62676</v>
      </c>
      <c r="M177" s="1" t="str">
        <f t="shared" si="8"/>
        <v>Jun</v>
      </c>
    </row>
    <row r="178" spans="1:13" x14ac:dyDescent="0.3">
      <c r="A178" s="1" t="s">
        <v>196</v>
      </c>
      <c r="B178" s="1" t="s">
        <v>11</v>
      </c>
      <c r="C178" s="1" t="s">
        <v>18</v>
      </c>
      <c r="D178" s="1">
        <v>1</v>
      </c>
      <c r="E178" s="1">
        <v>3</v>
      </c>
      <c r="F178" s="1">
        <v>7316</v>
      </c>
      <c r="G178" s="2">
        <v>45786</v>
      </c>
      <c r="H178" s="2">
        <v>45788</v>
      </c>
      <c r="I178" s="1" t="s">
        <v>23</v>
      </c>
      <c r="J178" s="1">
        <v>1</v>
      </c>
      <c r="K178" s="1">
        <f t="shared" si="6"/>
        <v>2</v>
      </c>
      <c r="L178" s="1">
        <f t="shared" si="7"/>
        <v>14632</v>
      </c>
      <c r="M178" s="1" t="str">
        <f t="shared" si="8"/>
        <v>May</v>
      </c>
    </row>
    <row r="179" spans="1:13" x14ac:dyDescent="0.3">
      <c r="A179" s="1" t="s">
        <v>197</v>
      </c>
      <c r="B179" s="1" t="s">
        <v>11</v>
      </c>
      <c r="C179" s="1" t="s">
        <v>18</v>
      </c>
      <c r="D179" s="1">
        <v>2</v>
      </c>
      <c r="E179" s="1">
        <v>3</v>
      </c>
      <c r="F179" s="1">
        <v>11102</v>
      </c>
      <c r="G179" s="2">
        <v>45806</v>
      </c>
      <c r="H179" s="2">
        <v>45813</v>
      </c>
      <c r="I179" s="1" t="s">
        <v>13</v>
      </c>
      <c r="J179" s="1">
        <v>2</v>
      </c>
      <c r="K179" s="1">
        <f t="shared" si="6"/>
        <v>7</v>
      </c>
      <c r="L179" s="1">
        <f t="shared" si="7"/>
        <v>77714</v>
      </c>
      <c r="M179" s="1" t="str">
        <f t="shared" si="8"/>
        <v>May</v>
      </c>
    </row>
    <row r="180" spans="1:13" x14ac:dyDescent="0.3">
      <c r="A180" s="1" t="s">
        <v>198</v>
      </c>
      <c r="B180" s="1" t="s">
        <v>11</v>
      </c>
      <c r="C180" s="1" t="s">
        <v>12</v>
      </c>
      <c r="D180" s="1">
        <v>3</v>
      </c>
      <c r="E180" s="1">
        <v>0</v>
      </c>
      <c r="F180" s="1">
        <v>8024</v>
      </c>
      <c r="G180" s="2">
        <v>45983</v>
      </c>
      <c r="H180" s="2">
        <v>45990</v>
      </c>
      <c r="I180" s="1" t="s">
        <v>21</v>
      </c>
      <c r="J180" s="1">
        <v>1</v>
      </c>
      <c r="K180" s="1">
        <f t="shared" si="6"/>
        <v>7</v>
      </c>
      <c r="L180" s="1">
        <f t="shared" si="7"/>
        <v>56168</v>
      </c>
      <c r="M180" s="1" t="str">
        <f t="shared" si="8"/>
        <v>Nov</v>
      </c>
    </row>
    <row r="181" spans="1:13" x14ac:dyDescent="0.3">
      <c r="A181" s="1" t="s">
        <v>199</v>
      </c>
      <c r="B181" s="1" t="s">
        <v>17</v>
      </c>
      <c r="C181" s="1" t="s">
        <v>12</v>
      </c>
      <c r="D181" s="1">
        <v>4</v>
      </c>
      <c r="E181" s="1">
        <v>2</v>
      </c>
      <c r="F181" s="1">
        <v>3920</v>
      </c>
      <c r="G181" s="2">
        <v>45802</v>
      </c>
      <c r="H181" s="2">
        <v>45807</v>
      </c>
      <c r="I181" s="1" t="s">
        <v>21</v>
      </c>
      <c r="J181" s="1">
        <v>1</v>
      </c>
      <c r="K181" s="1">
        <f t="shared" si="6"/>
        <v>5</v>
      </c>
      <c r="L181" s="1">
        <f t="shared" si="7"/>
        <v>19600</v>
      </c>
      <c r="M181" s="1" t="str">
        <f t="shared" si="8"/>
        <v>May</v>
      </c>
    </row>
    <row r="182" spans="1:13" x14ac:dyDescent="0.3">
      <c r="A182" s="1" t="s">
        <v>200</v>
      </c>
      <c r="B182" s="1" t="s">
        <v>11</v>
      </c>
      <c r="C182" s="1" t="s">
        <v>30</v>
      </c>
      <c r="D182" s="1">
        <v>3</v>
      </c>
      <c r="E182" s="1">
        <v>0</v>
      </c>
      <c r="F182" s="1">
        <v>11709</v>
      </c>
      <c r="G182" s="2">
        <v>45833</v>
      </c>
      <c r="H182" s="2">
        <v>45837</v>
      </c>
      <c r="I182" s="1" t="s">
        <v>21</v>
      </c>
      <c r="J182" s="1">
        <v>2</v>
      </c>
      <c r="K182" s="1">
        <f t="shared" si="6"/>
        <v>4</v>
      </c>
      <c r="L182" s="1">
        <f t="shared" si="7"/>
        <v>46836</v>
      </c>
      <c r="M182" s="1" t="str">
        <f t="shared" si="8"/>
        <v>Jun</v>
      </c>
    </row>
    <row r="183" spans="1:13" x14ac:dyDescent="0.3">
      <c r="A183" s="1" t="s">
        <v>201</v>
      </c>
      <c r="B183" s="1" t="s">
        <v>11</v>
      </c>
      <c r="C183" s="1" t="s">
        <v>18</v>
      </c>
      <c r="D183" s="1">
        <v>2</v>
      </c>
      <c r="E183" s="1">
        <v>1</v>
      </c>
      <c r="F183" s="1">
        <v>3481</v>
      </c>
      <c r="G183" s="2">
        <v>46013</v>
      </c>
      <c r="H183" s="2">
        <v>46019</v>
      </c>
      <c r="I183" s="1" t="s">
        <v>21</v>
      </c>
      <c r="J183" s="1">
        <v>5</v>
      </c>
      <c r="K183" s="1">
        <f t="shared" si="6"/>
        <v>6</v>
      </c>
      <c r="L183" s="1">
        <f t="shared" si="7"/>
        <v>20886</v>
      </c>
      <c r="M183" s="1" t="str">
        <f t="shared" si="8"/>
        <v>Dec</v>
      </c>
    </row>
    <row r="184" spans="1:13" x14ac:dyDescent="0.3">
      <c r="A184" s="1" t="s">
        <v>202</v>
      </c>
      <c r="B184" s="1" t="s">
        <v>11</v>
      </c>
      <c r="C184" s="1" t="s">
        <v>18</v>
      </c>
      <c r="D184" s="1">
        <v>3</v>
      </c>
      <c r="E184" s="1">
        <v>0</v>
      </c>
      <c r="F184" s="1">
        <v>3213</v>
      </c>
      <c r="G184" s="2">
        <v>45878</v>
      </c>
      <c r="H184" s="2">
        <v>45881</v>
      </c>
      <c r="I184" s="1" t="s">
        <v>13</v>
      </c>
      <c r="J184" s="1">
        <v>2</v>
      </c>
      <c r="K184" s="1">
        <f t="shared" si="6"/>
        <v>3</v>
      </c>
      <c r="L184" s="1">
        <f t="shared" si="7"/>
        <v>9639</v>
      </c>
      <c r="M184" s="1" t="str">
        <f t="shared" si="8"/>
        <v>Aug</v>
      </c>
    </row>
    <row r="185" spans="1:13" x14ac:dyDescent="0.3">
      <c r="A185" s="1" t="s">
        <v>203</v>
      </c>
      <c r="B185" s="1" t="s">
        <v>11</v>
      </c>
      <c r="C185" s="1" t="s">
        <v>12</v>
      </c>
      <c r="D185" s="1">
        <v>4</v>
      </c>
      <c r="E185" s="1">
        <v>1</v>
      </c>
      <c r="F185" s="1">
        <v>8584</v>
      </c>
      <c r="G185" s="2">
        <v>45967</v>
      </c>
      <c r="H185" s="2">
        <v>45972</v>
      </c>
      <c r="I185" s="1" t="s">
        <v>21</v>
      </c>
      <c r="J185" s="1">
        <v>2</v>
      </c>
      <c r="K185" s="1">
        <f t="shared" si="6"/>
        <v>5</v>
      </c>
      <c r="L185" s="1">
        <f t="shared" si="7"/>
        <v>42920</v>
      </c>
      <c r="M185" s="1" t="str">
        <f t="shared" si="8"/>
        <v>Nov</v>
      </c>
    </row>
    <row r="186" spans="1:13" x14ac:dyDescent="0.3">
      <c r="A186" s="1" t="s">
        <v>204</v>
      </c>
      <c r="B186" s="1" t="s">
        <v>17</v>
      </c>
      <c r="C186" s="1" t="s">
        <v>30</v>
      </c>
      <c r="D186" s="1">
        <v>4</v>
      </c>
      <c r="E186" s="1">
        <v>2</v>
      </c>
      <c r="F186" s="1">
        <v>5988</v>
      </c>
      <c r="G186" s="2">
        <v>45755</v>
      </c>
      <c r="H186" s="2">
        <v>45758</v>
      </c>
      <c r="I186" s="1" t="s">
        <v>19</v>
      </c>
      <c r="J186" s="1">
        <v>5</v>
      </c>
      <c r="K186" s="1">
        <f t="shared" si="6"/>
        <v>3</v>
      </c>
      <c r="L186" s="1">
        <f t="shared" si="7"/>
        <v>17964</v>
      </c>
      <c r="M186" s="1" t="str">
        <f t="shared" si="8"/>
        <v>Apr</v>
      </c>
    </row>
    <row r="187" spans="1:13" x14ac:dyDescent="0.3">
      <c r="A187" s="1" t="s">
        <v>205</v>
      </c>
      <c r="B187" s="1" t="s">
        <v>11</v>
      </c>
      <c r="C187" s="1" t="s">
        <v>18</v>
      </c>
      <c r="D187" s="1">
        <v>3</v>
      </c>
      <c r="E187" s="1">
        <v>3</v>
      </c>
      <c r="F187" s="1">
        <v>8062</v>
      </c>
      <c r="G187" s="2">
        <v>45725</v>
      </c>
      <c r="H187" s="2">
        <v>45730</v>
      </c>
      <c r="I187" s="1" t="s">
        <v>23</v>
      </c>
      <c r="J187" s="1">
        <v>3</v>
      </c>
      <c r="K187" s="1">
        <f t="shared" si="6"/>
        <v>5</v>
      </c>
      <c r="L187" s="1">
        <f t="shared" si="7"/>
        <v>40310</v>
      </c>
      <c r="M187" s="1" t="str">
        <f t="shared" si="8"/>
        <v>Mar</v>
      </c>
    </row>
    <row r="188" spans="1:13" x14ac:dyDescent="0.3">
      <c r="A188" s="1" t="s">
        <v>206</v>
      </c>
      <c r="B188" s="1" t="s">
        <v>17</v>
      </c>
      <c r="C188" s="1" t="s">
        <v>12</v>
      </c>
      <c r="D188" s="1">
        <v>4</v>
      </c>
      <c r="E188" s="1">
        <v>3</v>
      </c>
      <c r="F188" s="1">
        <v>8714</v>
      </c>
      <c r="G188" s="2">
        <v>45821</v>
      </c>
      <c r="H188" s="2">
        <v>45827</v>
      </c>
      <c r="I188" s="1" t="s">
        <v>23</v>
      </c>
      <c r="J188" s="1">
        <v>2</v>
      </c>
      <c r="K188" s="1">
        <f t="shared" si="6"/>
        <v>6</v>
      </c>
      <c r="L188" s="1">
        <f t="shared" si="7"/>
        <v>52284</v>
      </c>
      <c r="M188" s="1" t="str">
        <f t="shared" si="8"/>
        <v>Jun</v>
      </c>
    </row>
    <row r="189" spans="1:13" x14ac:dyDescent="0.3">
      <c r="A189" s="1" t="s">
        <v>207</v>
      </c>
      <c r="B189" s="1" t="s">
        <v>11</v>
      </c>
      <c r="C189" s="1" t="s">
        <v>12</v>
      </c>
      <c r="D189" s="1">
        <v>1</v>
      </c>
      <c r="E189" s="1">
        <v>1</v>
      </c>
      <c r="F189" s="1">
        <v>10845</v>
      </c>
      <c r="G189" s="2">
        <v>46008</v>
      </c>
      <c r="H189" s="2">
        <v>46015</v>
      </c>
      <c r="I189" s="1" t="s">
        <v>21</v>
      </c>
      <c r="J189" s="1">
        <v>1</v>
      </c>
      <c r="K189" s="1">
        <f t="shared" si="6"/>
        <v>7</v>
      </c>
      <c r="L189" s="1">
        <f t="shared" si="7"/>
        <v>75915</v>
      </c>
      <c r="M189" s="1" t="str">
        <f t="shared" si="8"/>
        <v>Dec</v>
      </c>
    </row>
    <row r="190" spans="1:13" x14ac:dyDescent="0.3">
      <c r="A190" s="1" t="s">
        <v>208</v>
      </c>
      <c r="B190" s="1" t="s">
        <v>17</v>
      </c>
      <c r="C190" s="1" t="s">
        <v>18</v>
      </c>
      <c r="D190" s="1">
        <v>2</v>
      </c>
      <c r="E190" s="1">
        <v>2</v>
      </c>
      <c r="F190" s="1">
        <v>8261</v>
      </c>
      <c r="G190" s="2">
        <v>45732</v>
      </c>
      <c r="H190" s="2">
        <v>45735</v>
      </c>
      <c r="I190" s="1" t="s">
        <v>21</v>
      </c>
      <c r="J190" s="1">
        <v>4</v>
      </c>
      <c r="K190" s="1">
        <f t="shared" si="6"/>
        <v>3</v>
      </c>
      <c r="L190" s="1">
        <f t="shared" si="7"/>
        <v>24783</v>
      </c>
      <c r="M190" s="1" t="str">
        <f t="shared" si="8"/>
        <v>Mar</v>
      </c>
    </row>
    <row r="191" spans="1:13" x14ac:dyDescent="0.3">
      <c r="A191" s="1" t="s">
        <v>209</v>
      </c>
      <c r="B191" s="1" t="s">
        <v>11</v>
      </c>
      <c r="C191" s="1" t="s">
        <v>15</v>
      </c>
      <c r="D191" s="1">
        <v>3</v>
      </c>
      <c r="E191" s="1">
        <v>3</v>
      </c>
      <c r="F191" s="1">
        <v>3233</v>
      </c>
      <c r="G191" s="2">
        <v>45829</v>
      </c>
      <c r="H191" s="2">
        <v>45832</v>
      </c>
      <c r="I191" s="1" t="s">
        <v>19</v>
      </c>
      <c r="J191" s="1">
        <v>4</v>
      </c>
      <c r="K191" s="1">
        <f t="shared" si="6"/>
        <v>3</v>
      </c>
      <c r="L191" s="1">
        <f t="shared" si="7"/>
        <v>9699</v>
      </c>
      <c r="M191" s="1" t="str">
        <f t="shared" si="8"/>
        <v>Jun</v>
      </c>
    </row>
    <row r="192" spans="1:13" x14ac:dyDescent="0.3">
      <c r="A192" s="1" t="s">
        <v>210</v>
      </c>
      <c r="B192" s="1" t="s">
        <v>11</v>
      </c>
      <c r="C192" s="1" t="s">
        <v>12</v>
      </c>
      <c r="D192" s="1">
        <v>1</v>
      </c>
      <c r="E192" s="1">
        <v>3</v>
      </c>
      <c r="F192" s="1">
        <v>8263</v>
      </c>
      <c r="G192" s="2">
        <v>45907</v>
      </c>
      <c r="H192" s="2">
        <v>45911</v>
      </c>
      <c r="I192" s="1" t="s">
        <v>19</v>
      </c>
      <c r="J192" s="1">
        <v>4</v>
      </c>
      <c r="K192" s="1">
        <f t="shared" si="6"/>
        <v>4</v>
      </c>
      <c r="L192" s="1">
        <f t="shared" si="7"/>
        <v>33052</v>
      </c>
      <c r="M192" s="1" t="str">
        <f t="shared" si="8"/>
        <v>Sep</v>
      </c>
    </row>
    <row r="193" spans="1:13" x14ac:dyDescent="0.3">
      <c r="A193" s="1" t="s">
        <v>211</v>
      </c>
      <c r="B193" s="1" t="s">
        <v>17</v>
      </c>
      <c r="C193" s="1" t="s">
        <v>15</v>
      </c>
      <c r="D193" s="1">
        <v>3</v>
      </c>
      <c r="E193" s="1">
        <v>2</v>
      </c>
      <c r="F193" s="1">
        <v>10297</v>
      </c>
      <c r="G193" s="2">
        <v>45877</v>
      </c>
      <c r="H193" s="2">
        <v>45884</v>
      </c>
      <c r="I193" s="1" t="s">
        <v>13</v>
      </c>
      <c r="J193" s="1">
        <v>2</v>
      </c>
      <c r="K193" s="1">
        <f t="shared" si="6"/>
        <v>7</v>
      </c>
      <c r="L193" s="1">
        <f t="shared" si="7"/>
        <v>72079</v>
      </c>
      <c r="M193" s="1" t="str">
        <f t="shared" si="8"/>
        <v>Aug</v>
      </c>
    </row>
    <row r="194" spans="1:13" x14ac:dyDescent="0.3">
      <c r="A194" s="1" t="s">
        <v>212</v>
      </c>
      <c r="B194" s="1" t="s">
        <v>11</v>
      </c>
      <c r="C194" s="1" t="s">
        <v>18</v>
      </c>
      <c r="D194" s="1">
        <v>3</v>
      </c>
      <c r="E194" s="1">
        <v>2</v>
      </c>
      <c r="F194" s="1">
        <v>5817</v>
      </c>
      <c r="G194" s="2">
        <v>45941</v>
      </c>
      <c r="H194" s="2">
        <v>45946</v>
      </c>
      <c r="I194" s="1" t="s">
        <v>19</v>
      </c>
      <c r="J194" s="1">
        <v>1</v>
      </c>
      <c r="K194" s="1">
        <f t="shared" si="6"/>
        <v>5</v>
      </c>
      <c r="L194" s="1">
        <f t="shared" si="7"/>
        <v>29085</v>
      </c>
      <c r="M194" s="1" t="str">
        <f t="shared" si="8"/>
        <v>Oct</v>
      </c>
    </row>
    <row r="195" spans="1:13" x14ac:dyDescent="0.3">
      <c r="A195" s="1" t="s">
        <v>213</v>
      </c>
      <c r="B195" s="1" t="s">
        <v>17</v>
      </c>
      <c r="C195" s="1" t="s">
        <v>12</v>
      </c>
      <c r="D195" s="1">
        <v>1</v>
      </c>
      <c r="E195" s="1">
        <v>3</v>
      </c>
      <c r="F195" s="1">
        <v>7904</v>
      </c>
      <c r="G195" s="2">
        <v>45908</v>
      </c>
      <c r="H195" s="2">
        <v>45915</v>
      </c>
      <c r="I195" s="1" t="s">
        <v>19</v>
      </c>
      <c r="J195" s="1">
        <v>4</v>
      </c>
      <c r="K195" s="1">
        <f t="shared" ref="K195:K201" si="9">H195-G195</f>
        <v>7</v>
      </c>
      <c r="L195" s="1">
        <f t="shared" ref="L195:L201" si="10">K195*F195</f>
        <v>55328</v>
      </c>
      <c r="M195" s="1" t="str">
        <f t="shared" ref="M195:M201" si="11">TEXT(G195,"mmm")</f>
        <v>Sep</v>
      </c>
    </row>
    <row r="196" spans="1:13" x14ac:dyDescent="0.3">
      <c r="A196" s="1" t="s">
        <v>214</v>
      </c>
      <c r="B196" s="1" t="s">
        <v>11</v>
      </c>
      <c r="C196" s="1" t="s">
        <v>30</v>
      </c>
      <c r="D196" s="1">
        <v>2</v>
      </c>
      <c r="E196" s="1">
        <v>3</v>
      </c>
      <c r="F196" s="1">
        <v>10534</v>
      </c>
      <c r="G196" s="2">
        <v>45930</v>
      </c>
      <c r="H196" s="2">
        <v>45935</v>
      </c>
      <c r="I196" s="1" t="s">
        <v>23</v>
      </c>
      <c r="J196" s="1">
        <v>2</v>
      </c>
      <c r="K196" s="1">
        <f t="shared" si="9"/>
        <v>5</v>
      </c>
      <c r="L196" s="1">
        <f t="shared" si="10"/>
        <v>52670</v>
      </c>
      <c r="M196" s="1" t="str">
        <f t="shared" si="11"/>
        <v>Sep</v>
      </c>
    </row>
    <row r="197" spans="1:13" x14ac:dyDescent="0.3">
      <c r="A197" s="1" t="s">
        <v>215</v>
      </c>
      <c r="B197" s="1" t="s">
        <v>11</v>
      </c>
      <c r="C197" s="1" t="s">
        <v>12</v>
      </c>
      <c r="D197" s="1">
        <v>2</v>
      </c>
      <c r="E197" s="1">
        <v>3</v>
      </c>
      <c r="F197" s="1">
        <v>9392</v>
      </c>
      <c r="G197" s="2">
        <v>45993</v>
      </c>
      <c r="H197" s="2">
        <v>45999</v>
      </c>
      <c r="I197" s="1" t="s">
        <v>13</v>
      </c>
      <c r="J197" s="1">
        <v>1</v>
      </c>
      <c r="K197" s="1">
        <f t="shared" si="9"/>
        <v>6</v>
      </c>
      <c r="L197" s="1">
        <f t="shared" si="10"/>
        <v>56352</v>
      </c>
      <c r="M197" s="1" t="str">
        <f t="shared" si="11"/>
        <v>Dec</v>
      </c>
    </row>
    <row r="198" spans="1:13" x14ac:dyDescent="0.3">
      <c r="A198" s="1" t="s">
        <v>216</v>
      </c>
      <c r="B198" s="1" t="s">
        <v>11</v>
      </c>
      <c r="C198" s="1" t="s">
        <v>30</v>
      </c>
      <c r="D198" s="1">
        <v>4</v>
      </c>
      <c r="E198" s="1">
        <v>0</v>
      </c>
      <c r="F198" s="1">
        <v>6265</v>
      </c>
      <c r="G198" s="2">
        <v>45974</v>
      </c>
      <c r="H198" s="2">
        <v>45980</v>
      </c>
      <c r="I198" s="1" t="s">
        <v>19</v>
      </c>
      <c r="J198" s="1">
        <v>4</v>
      </c>
      <c r="K198" s="1">
        <f t="shared" si="9"/>
        <v>6</v>
      </c>
      <c r="L198" s="1">
        <f t="shared" si="10"/>
        <v>37590</v>
      </c>
      <c r="M198" s="1" t="str">
        <f t="shared" si="11"/>
        <v>Nov</v>
      </c>
    </row>
    <row r="199" spans="1:13" x14ac:dyDescent="0.3">
      <c r="A199" s="1" t="s">
        <v>217</v>
      </c>
      <c r="B199" s="1" t="s">
        <v>17</v>
      </c>
      <c r="C199" s="1" t="s">
        <v>12</v>
      </c>
      <c r="D199" s="1">
        <v>2</v>
      </c>
      <c r="E199" s="1">
        <v>2</v>
      </c>
      <c r="F199" s="1">
        <v>5035</v>
      </c>
      <c r="G199" s="2">
        <v>45704</v>
      </c>
      <c r="H199" s="2">
        <v>45705</v>
      </c>
      <c r="I199" s="1" t="s">
        <v>19</v>
      </c>
      <c r="J199" s="1">
        <v>1</v>
      </c>
      <c r="K199" s="1">
        <f t="shared" si="9"/>
        <v>1</v>
      </c>
      <c r="L199" s="1">
        <f t="shared" si="10"/>
        <v>5035</v>
      </c>
      <c r="M199" s="1" t="str">
        <f t="shared" si="11"/>
        <v>Feb</v>
      </c>
    </row>
    <row r="200" spans="1:13" x14ac:dyDescent="0.3">
      <c r="A200" s="1" t="s">
        <v>218</v>
      </c>
      <c r="B200" s="1" t="s">
        <v>17</v>
      </c>
      <c r="C200" s="1" t="s">
        <v>12</v>
      </c>
      <c r="D200" s="1">
        <v>3</v>
      </c>
      <c r="E200" s="1">
        <v>2</v>
      </c>
      <c r="F200" s="1">
        <v>11988</v>
      </c>
      <c r="G200" s="2">
        <v>45997</v>
      </c>
      <c r="H200" s="2">
        <v>46000</v>
      </c>
      <c r="I200" s="1" t="s">
        <v>21</v>
      </c>
      <c r="J200" s="1">
        <v>2</v>
      </c>
      <c r="K200" s="1">
        <f t="shared" si="9"/>
        <v>3</v>
      </c>
      <c r="L200" s="1">
        <f t="shared" si="10"/>
        <v>35964</v>
      </c>
      <c r="M200" s="1" t="str">
        <f t="shared" si="11"/>
        <v>Dec</v>
      </c>
    </row>
    <row r="201" spans="1:13" x14ac:dyDescent="0.3">
      <c r="A201" s="1" t="s">
        <v>219</v>
      </c>
      <c r="B201" s="1" t="s">
        <v>17</v>
      </c>
      <c r="C201" s="1" t="s">
        <v>12</v>
      </c>
      <c r="D201" s="1">
        <v>3</v>
      </c>
      <c r="E201" s="1">
        <v>2</v>
      </c>
      <c r="F201" s="1">
        <v>4186</v>
      </c>
      <c r="G201" s="2">
        <v>45776</v>
      </c>
      <c r="H201" s="2">
        <v>45783</v>
      </c>
      <c r="I201" s="1" t="s">
        <v>21</v>
      </c>
      <c r="J201" s="1">
        <v>2</v>
      </c>
      <c r="K201" s="1">
        <f t="shared" si="9"/>
        <v>7</v>
      </c>
      <c r="L201" s="1">
        <f t="shared" si="10"/>
        <v>29302</v>
      </c>
      <c r="M201" s="1" t="str">
        <f t="shared" si="11"/>
        <v>Apr</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61B4E-0485-4AE6-93C8-BEC59DB4FD11}">
  <dimension ref="C1:C60"/>
  <sheetViews>
    <sheetView tabSelected="1" topLeftCell="A5" zoomScale="54" workbookViewId="0">
      <selection activeCell="Z33" sqref="Z33"/>
    </sheetView>
  </sheetViews>
  <sheetFormatPr defaultRowHeight="14.4" x14ac:dyDescent="0.3"/>
  <sheetData>
    <row r="1" spans="3:3" s="4" customFormat="1" ht="46.2" x14ac:dyDescent="0.3">
      <c r="C1" s="6" t="s">
        <v>223</v>
      </c>
    </row>
    <row r="2" spans="3:3" s="4" customFormat="1" ht="21" x14ac:dyDescent="0.4">
      <c r="C2" s="7" t="s">
        <v>224</v>
      </c>
    </row>
    <row r="3" spans="3:3" s="4" customFormat="1" x14ac:dyDescent="0.3"/>
    <row r="4" spans="3:3" s="4" customFormat="1" x14ac:dyDescent="0.3"/>
    <row r="5" spans="3:3" s="4" customFormat="1" x14ac:dyDescent="0.3"/>
    <row r="6" spans="3:3" s="5" customFormat="1" x14ac:dyDescent="0.3"/>
    <row r="7" spans="3:3" s="5" customFormat="1" x14ac:dyDescent="0.3"/>
    <row r="8" spans="3:3" s="5" customFormat="1" x14ac:dyDescent="0.3"/>
    <row r="9" spans="3:3" s="5" customFormat="1" x14ac:dyDescent="0.3"/>
    <row r="10" spans="3:3" s="5" customFormat="1" x14ac:dyDescent="0.3"/>
    <row r="11" spans="3:3" s="5" customFormat="1" x14ac:dyDescent="0.3"/>
    <row r="12" spans="3:3" s="5" customFormat="1" x14ac:dyDescent="0.3"/>
    <row r="13" spans="3:3" s="5" customFormat="1" x14ac:dyDescent="0.3"/>
    <row r="14" spans="3:3" s="5" customFormat="1" x14ac:dyDescent="0.3"/>
    <row r="15" spans="3:3" s="5" customFormat="1" x14ac:dyDescent="0.3"/>
    <row r="16" spans="3:3" s="5" customFormat="1" x14ac:dyDescent="0.3"/>
    <row r="17" s="5" customFormat="1" x14ac:dyDescent="0.3"/>
    <row r="18" s="5" customFormat="1" x14ac:dyDescent="0.3"/>
    <row r="19" s="5" customFormat="1" x14ac:dyDescent="0.3"/>
    <row r="20" s="5" customFormat="1" x14ac:dyDescent="0.3"/>
    <row r="21" s="5" customFormat="1" x14ac:dyDescent="0.3"/>
    <row r="22" s="5" customFormat="1" x14ac:dyDescent="0.3"/>
    <row r="23" s="5" customFormat="1" x14ac:dyDescent="0.3"/>
    <row r="24" s="5" customFormat="1" x14ac:dyDescent="0.3"/>
    <row r="25" s="5" customFormat="1" x14ac:dyDescent="0.3"/>
    <row r="26" s="5" customFormat="1" x14ac:dyDescent="0.3"/>
    <row r="27" s="5" customFormat="1" x14ac:dyDescent="0.3"/>
    <row r="28" s="5" customFormat="1" x14ac:dyDescent="0.3"/>
    <row r="29" s="5" customFormat="1" x14ac:dyDescent="0.3"/>
    <row r="30" s="5" customFormat="1" x14ac:dyDescent="0.3"/>
    <row r="31" s="5" customFormat="1" x14ac:dyDescent="0.3"/>
    <row r="32" s="5" customFormat="1" x14ac:dyDescent="0.3"/>
    <row r="33" s="5" customFormat="1" x14ac:dyDescent="0.3"/>
    <row r="34" s="5" customFormat="1" x14ac:dyDescent="0.3"/>
    <row r="35" s="5" customFormat="1" x14ac:dyDescent="0.3"/>
    <row r="36" s="5" customFormat="1" x14ac:dyDescent="0.3"/>
    <row r="37" s="5" customFormat="1" x14ac:dyDescent="0.3"/>
    <row r="38" s="5" customFormat="1" x14ac:dyDescent="0.3"/>
    <row r="39" s="5" customFormat="1" x14ac:dyDescent="0.3"/>
    <row r="40" s="5" customFormat="1" x14ac:dyDescent="0.3"/>
    <row r="41" s="5" customFormat="1" x14ac:dyDescent="0.3"/>
    <row r="42" s="5" customFormat="1" x14ac:dyDescent="0.3"/>
    <row r="43" s="5" customFormat="1" x14ac:dyDescent="0.3"/>
    <row r="44" s="5" customFormat="1" x14ac:dyDescent="0.3"/>
    <row r="45" s="5" customFormat="1" x14ac:dyDescent="0.3"/>
    <row r="46" s="5" customFormat="1" x14ac:dyDescent="0.3"/>
    <row r="47" s="5" customFormat="1" x14ac:dyDescent="0.3"/>
    <row r="48" s="5" customFormat="1" x14ac:dyDescent="0.3"/>
    <row r="49" s="5" customFormat="1" x14ac:dyDescent="0.3"/>
    <row r="50" s="5" customFormat="1" x14ac:dyDescent="0.3"/>
    <row r="51" s="5" customFormat="1" x14ac:dyDescent="0.3"/>
    <row r="52" s="5" customFormat="1" x14ac:dyDescent="0.3"/>
    <row r="53" s="5" customFormat="1" x14ac:dyDescent="0.3"/>
    <row r="54" s="5" customFormat="1" x14ac:dyDescent="0.3"/>
    <row r="55" s="5" customFormat="1" x14ac:dyDescent="0.3"/>
    <row r="56" s="5" customFormat="1" x14ac:dyDescent="0.3"/>
    <row r="57" s="5" customFormat="1" x14ac:dyDescent="0.3"/>
    <row r="58" s="5" customFormat="1" x14ac:dyDescent="0.3"/>
    <row r="59" s="5" customFormat="1" x14ac:dyDescent="0.3"/>
    <row r="60" s="5" customForma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Analysis</vt:lpstr>
      <vt:lpstr>Data</vt:lpstr>
      <vt:lpstr>Dashboard</vt:lpstr>
      <vt:lpstr>Hoteldata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Krupa Belge</cp:lastModifiedBy>
  <dcterms:created xsi:type="dcterms:W3CDTF">2026-07-27T18:59:51Z</dcterms:created>
  <dcterms:modified xsi:type="dcterms:W3CDTF">2026-10-26T19:35:43Z</dcterms:modified>
</cp:coreProperties>
</file>